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OneDrive\Desktop\Learning\"/>
    </mc:Choice>
  </mc:AlternateContent>
  <xr:revisionPtr revIDLastSave="0" documentId="13_ncr:1_{BE22075D-ACC3-416B-8A4E-1C511967B0A8}" xr6:coauthVersionLast="47" xr6:coauthVersionMax="47" xr10:uidLastSave="{00000000-0000-0000-0000-000000000000}"/>
  <bookViews>
    <workbookView xWindow="-110" yWindow="-110" windowWidth="19420" windowHeight="10300" firstSheet="9" activeTab="9" xr2:uid="{00000000-000D-0000-FFFF-FFFF00000000}"/>
  </bookViews>
  <sheets>
    <sheet name="Sheet3" sheetId="12" state="hidden" r:id="rId1"/>
    <sheet name="Sheet4" sheetId="13" state="hidden" r:id="rId2"/>
    <sheet name="Sheet5" sheetId="14" state="hidden" r:id="rId3"/>
    <sheet name="Sheet6" sheetId="15" state="hidden" r:id="rId4"/>
    <sheet name="Sheet7" sheetId="16" state="hidden" r:id="rId5"/>
    <sheet name="Data" sheetId="1" state="hidden" r:id="rId6"/>
    <sheet name="Gender" sheetId="10" state="hidden" r:id="rId7"/>
    <sheet name="Education" sheetId="11" state="hidden" r:id="rId8"/>
    <sheet name="KPI" sheetId="9" state="hidden" r:id="rId9"/>
    <sheet name="Dashboard" sheetId="7" r:id="rId10"/>
    <sheet name="Images" sheetId="2" state="hidden" r:id="rId11"/>
    <sheet name="Background 1" sheetId="3" state="hidden" r:id="rId12"/>
    <sheet name="Background 2" sheetId="4" state="hidden" r:id="rId13"/>
    <sheet name="Background 3" sheetId="5" state="hidden" r:id="rId14"/>
    <sheet name="Background 4" sheetId="6" state="hidden" r:id="rId15"/>
  </sheets>
  <definedNames>
    <definedName name="_xlchart.v1.0" hidden="1">Sheet3!$D$4:$D$12</definedName>
    <definedName name="_xlchart.v1.1" hidden="1">Sheet3!$E$4:$E$12</definedName>
    <definedName name="_xlchart.v1.10" hidden="1">Sheet3!$D$4:$D$12</definedName>
    <definedName name="_xlchart.v1.11" hidden="1">Sheet3!$E$4:$E$12</definedName>
    <definedName name="_xlchart.v1.2" hidden="1">Sheet3!$D$4:$D$12</definedName>
    <definedName name="_xlchart.v1.3" hidden="1">Sheet3!$E$4:$E$12</definedName>
    <definedName name="_xlchart.v1.4" hidden="1">Sheet3!$D$4:$D$12</definedName>
    <definedName name="_xlchart.v1.5" hidden="1">Sheet3!$E$4:$E$12</definedName>
    <definedName name="_xlchart.v2.12" hidden="1">Sheet7!$D$4:$D$6</definedName>
    <definedName name="_xlchart.v2.13" hidden="1">Sheet7!$E$4:$E$6</definedName>
    <definedName name="_xlchart.v2.6" hidden="1">Sheet7!$D$4:$D$6</definedName>
    <definedName name="_xlchart.v2.7" hidden="1">Sheet7!$E$4:$E$6</definedName>
    <definedName name="_xlchart.v2.8" hidden="1">Sheet7!$D$4:$D$6</definedName>
    <definedName name="_xlchart.v2.9" hidden="1">Sheet7!$E$4:$E$6</definedName>
    <definedName name="Slicer_Department">#N/A</definedName>
    <definedName name="Slicer_Education_Field">#N/A</definedName>
    <definedName name="Slicer_Gender1">#N/A</definedName>
    <definedName name="Slicer_Job_Role">#N/A</definedName>
  </definedNames>
  <calcPr calcId="191029"/>
  <pivotCaches>
    <pivotCache cacheId="18"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0W7NtiAel2xy0cZdwUBcRsMoEuXg6pzXui43o1bypBA="/>
    </ext>
  </extLst>
</workbook>
</file>

<file path=xl/calcChain.xml><?xml version="1.0" encoding="utf-8"?>
<calcChain xmlns="http://schemas.openxmlformats.org/spreadsheetml/2006/main">
  <c r="B8" i="9" l="1"/>
  <c r="B7" i="9"/>
  <c r="B11" i="9"/>
  <c r="B9" i="9"/>
  <c r="B10" i="10"/>
  <c r="C10" i="10" s="1"/>
  <c r="B9" i="10"/>
  <c r="C9" i="10" s="1"/>
  <c r="G7" i="9"/>
  <c r="B10" i="9" l="1"/>
  <c r="G8" i="9"/>
  <c r="H8" i="9" s="1"/>
  <c r="H7" i="9"/>
</calcChain>
</file>

<file path=xl/sharedStrings.xml><?xml version="1.0" encoding="utf-8"?>
<sst xmlns="http://schemas.openxmlformats.org/spreadsheetml/2006/main" count="19237" uniqueCount="1571">
  <si>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</si>
  <si>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</si>
  <si>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</si>
  <si>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</si>
  <si>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</si>
  <si>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</si>
  <si>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</si>
  <si>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</si>
  <si>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</si>
  <si>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</si>
  <si>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</si>
  <si>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</si>
  <si>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</si>
  <si>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</si>
  <si>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</si>
  <si>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</si>
  <si>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</si>
  <si>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</si>
  <si>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</si>
  <si>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</si>
  <si>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</si>
  <si>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</si>
  <si>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</si>
  <si>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</si>
  <si>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</si>
  <si>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</si>
  <si>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</si>
  <si>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</si>
  <si>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</si>
  <si>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</si>
  <si>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</si>
  <si>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</si>
  <si>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</si>
  <si>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</si>
  <si>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</si>
  <si>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</si>
  <si>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</si>
  <si>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</si>
  <si>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</si>
  <si>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</si>
  <si>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</si>
  <si>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</si>
  <si>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</si>
  <si>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</si>
  <si>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</si>
  <si>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</si>
  <si>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</si>
  <si>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</si>
  <si>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</si>
  <si>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</si>
  <si>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</si>
  <si>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</si>
  <si>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</si>
  <si>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</si>
  <si>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</si>
  <si>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</si>
  <si>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</si>
  <si>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</si>
  <si>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</si>
  <si>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</si>
  <si>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</si>
  <si>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</si>
  <si>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</si>
  <si>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</si>
  <si>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</si>
  <si>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</si>
  <si>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</si>
  <si>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</si>
  <si>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</si>
  <si>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</si>
  <si>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</si>
  <si>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</si>
  <si>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</si>
  <si>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</si>
  <si>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</si>
  <si>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</si>
  <si>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</si>
  <si>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</si>
  <si>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</si>
  <si>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</si>
  <si>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</si>
  <si>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</si>
  <si>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</si>
  <si>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</si>
  <si>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</si>
  <si>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</si>
  <si>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</si>
  <si>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</si>
  <si>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</si>
  <si>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</si>
  <si>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</si>
  <si>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</si>
  <si>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</si>
  <si>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</si>
  <si>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</si>
  <si>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</si>
  <si>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</si>
  <si>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</si>
  <si>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</si>
  <si>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</si>
  <si>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</si>
  <si>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</si>
  <si>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</si>
  <si>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</si>
  <si>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</si>
  <si>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</si>
  <si>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</si>
  <si>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</si>
  <si>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</si>
  <si>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</si>
  <si>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</si>
  <si>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</si>
  <si>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</si>
  <si>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</si>
  <si>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</si>
  <si>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</si>
  <si>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</si>
  <si>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</si>
  <si>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</si>
  <si>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</si>
  <si>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</si>
  <si>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</si>
  <si>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</si>
  <si>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</si>
  <si>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</si>
  <si>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</si>
  <si>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</si>
  <si>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</si>
  <si>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</si>
  <si>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</si>
  <si>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</si>
  <si>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</si>
  <si>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</si>
  <si>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</si>
  <si>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</si>
  <si>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</si>
  <si>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</si>
  <si>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</si>
  <si>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</si>
  <si>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</si>
  <si>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</si>
  <si>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</si>
  <si>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</si>
  <si>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</si>
  <si>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</si>
  <si>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</si>
  <si>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</si>
  <si>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</si>
  <si>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</si>
  <si>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</si>
  <si>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</si>
  <si>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</si>
  <si>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</si>
  <si>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</si>
  <si>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</si>
  <si>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</si>
  <si>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</si>
  <si>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</si>
  <si>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</si>
  <si>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</si>
  <si>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</si>
  <si>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</si>
  <si>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</si>
  <si>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</si>
  <si>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</si>
  <si>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</si>
  <si>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</si>
  <si>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</si>
  <si>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</si>
  <si>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</si>
  <si>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</si>
  <si>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</si>
  <si>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</si>
  <si>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</si>
  <si>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</si>
  <si>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</si>
  <si>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</si>
  <si>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</si>
  <si>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</si>
  <si>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</si>
  <si>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</si>
  <si>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</si>
  <si>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</si>
  <si>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</si>
  <si>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</si>
  <si>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</si>
  <si>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</si>
  <si>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</si>
  <si>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</si>
  <si>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</si>
  <si>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</si>
  <si>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</si>
  <si>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</si>
  <si>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</si>
  <si>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</si>
  <si>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</si>
  <si>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</si>
  <si>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</si>
  <si>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</si>
  <si>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</si>
  <si>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</si>
  <si>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</si>
  <si>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</si>
  <si>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</si>
  <si>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</si>
  <si>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</si>
  <si>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</si>
  <si>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</si>
  <si>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</si>
  <si>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</si>
  <si>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</si>
  <si>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</si>
  <si>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</si>
  <si>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</si>
  <si>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</si>
  <si>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</si>
  <si>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</si>
  <si>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</si>
  <si>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</si>
  <si>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</si>
  <si>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</si>
  <si>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</si>
  <si>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</si>
  <si>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</si>
  <si>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</si>
  <si>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</si>
  <si>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</si>
  <si>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</si>
  <si>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</si>
  <si>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</si>
  <si>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</si>
  <si>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</si>
  <si>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</si>
  <si>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</si>
  <si>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</si>
  <si>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</si>
  <si>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</si>
  <si>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</si>
  <si>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</si>
  <si>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</si>
  <si>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</si>
  <si>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</si>
  <si>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</si>
  <si>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</si>
  <si>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</si>
  <si>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</si>
  <si>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</si>
  <si>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</si>
  <si>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</si>
  <si>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</si>
  <si>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</si>
  <si>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</si>
  <si>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</si>
  <si>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</si>
  <si>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</si>
  <si>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</si>
  <si>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</si>
  <si>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</si>
  <si>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</si>
  <si>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</si>
  <si>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</si>
  <si>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</si>
  <si>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</si>
  <si>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</si>
  <si>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</si>
  <si>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</si>
  <si>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</si>
  <si>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</si>
  <si>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</si>
  <si>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</si>
  <si>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</si>
  <si>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</si>
  <si>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</si>
  <si>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</si>
  <si>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</si>
  <si>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</si>
  <si>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</si>
  <si>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</si>
  <si>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</si>
  <si>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</si>
  <si>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</si>
  <si>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</si>
  <si>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</si>
  <si>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</si>
  <si>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</si>
  <si>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</si>
  <si>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</si>
  <si>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</si>
  <si>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</si>
  <si>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</si>
  <si>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</si>
  <si>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</si>
  <si>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</si>
  <si>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</si>
  <si>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</si>
  <si>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</si>
  <si>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</si>
  <si>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</si>
  <si>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</si>
  <si>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</si>
  <si>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</si>
  <si>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</si>
  <si>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</si>
  <si>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</si>
  <si>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</si>
  <si>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</si>
  <si>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</si>
  <si>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</si>
  <si>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</si>
  <si>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</si>
  <si>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</si>
  <si>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</si>
  <si>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</si>
  <si>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</si>
  <si>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</si>
  <si>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</si>
  <si>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</si>
  <si>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</si>
  <si>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</si>
  <si>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</si>
  <si>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</si>
  <si>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</si>
  <si>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</si>
  <si>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</si>
  <si>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</si>
  <si>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</si>
  <si>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</si>
  <si>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</si>
  <si>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</si>
  <si>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</si>
  <si>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</si>
  <si>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</si>
  <si>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</si>
  <si>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</si>
  <si>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</si>
  <si>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</si>
  <si>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</si>
  <si>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</si>
  <si>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</si>
  <si>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</si>
  <si>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</si>
  <si>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</si>
  <si>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</si>
  <si>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</si>
  <si>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</si>
  <si>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</si>
  <si>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</si>
  <si>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</si>
  <si>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</si>
  <si>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</si>
  <si>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</si>
  <si>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</si>
  <si>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</si>
  <si>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</si>
  <si>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</si>
  <si>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</si>
  <si>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</si>
  <si>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</si>
  <si>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</si>
  <si>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</si>
  <si>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</si>
  <si>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</si>
  <si>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</si>
  <si>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</si>
  <si>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</si>
  <si>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</si>
  <si>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</si>
  <si>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</si>
  <si>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</si>
  <si>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</si>
  <si>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</si>
  <si>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</si>
  <si>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</si>
  <si>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</si>
  <si>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</si>
  <si>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</si>
  <si>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</si>
  <si>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</si>
  <si>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</si>
  <si>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</si>
  <si>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</si>
  <si>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</si>
  <si>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</si>
  <si>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</si>
  <si>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</si>
  <si>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</si>
  <si>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</si>
  <si>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</si>
  <si>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</si>
  <si>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</si>
  <si>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</si>
  <si>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</si>
  <si>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</si>
  <si>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</si>
  <si>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</si>
  <si>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</si>
  <si>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</si>
  <si>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</si>
  <si>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</si>
  <si>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</si>
  <si>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</si>
  <si>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</si>
  <si>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</si>
  <si>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</si>
  <si>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</si>
  <si>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</si>
  <si>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</si>
  <si>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</si>
  <si>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</si>
  <si>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</si>
  <si>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</si>
  <si>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</si>
  <si>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</si>
  <si>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</si>
  <si>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</si>
  <si>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</si>
  <si>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</si>
  <si>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</si>
  <si>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</si>
  <si>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</si>
  <si>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</si>
  <si>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</si>
  <si>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</si>
  <si>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</si>
  <si>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</si>
  <si>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</si>
  <si>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</si>
  <si>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</si>
  <si>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</si>
  <si>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</si>
  <si>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</si>
  <si>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</si>
  <si>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</si>
  <si>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</si>
  <si>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</si>
  <si>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</si>
  <si>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</si>
  <si>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</si>
  <si>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</si>
  <si>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</si>
  <si>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</si>
  <si>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</si>
  <si>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</si>
  <si>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</si>
  <si>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</si>
  <si>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</si>
  <si>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</si>
  <si>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</si>
  <si>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</si>
  <si>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</si>
  <si>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</si>
  <si>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</si>
  <si>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</si>
  <si>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</si>
  <si>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</si>
  <si>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</si>
  <si>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</si>
  <si>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</si>
  <si>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</si>
  <si>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</si>
  <si>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</si>
  <si>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</si>
  <si>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</si>
  <si>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</si>
  <si>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</si>
  <si>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</si>
  <si>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</si>
  <si>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</si>
  <si>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</si>
  <si>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</si>
  <si>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</si>
  <si>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</si>
  <si>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</si>
  <si>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</si>
  <si>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</si>
  <si>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</si>
  <si>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</si>
  <si>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</si>
  <si>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</si>
  <si>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</si>
  <si>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</si>
  <si>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</si>
  <si>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</si>
  <si>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</si>
  <si>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</si>
  <si>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</si>
  <si>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</si>
  <si>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</si>
  <si>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</si>
  <si>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</si>
  <si>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</si>
  <si>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</si>
  <si>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</si>
  <si>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</si>
  <si>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</si>
  <si>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</si>
  <si>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</si>
  <si>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</si>
  <si>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</si>
  <si>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</si>
  <si>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</si>
  <si>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</si>
  <si>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</si>
  <si>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</si>
  <si>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</si>
  <si>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</si>
  <si>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</si>
  <si>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</si>
  <si>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</si>
  <si>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</si>
  <si>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</si>
  <si>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</si>
  <si>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</si>
  <si>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</si>
  <si>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</si>
  <si>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</si>
  <si>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</si>
  <si>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</si>
  <si>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</si>
  <si>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</si>
  <si>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</si>
  <si>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</si>
  <si>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</si>
  <si>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</si>
  <si>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</si>
  <si>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</si>
  <si>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</si>
  <si>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</si>
  <si>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</si>
  <si>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</si>
  <si>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</si>
  <si>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</si>
  <si>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</si>
  <si>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</si>
  <si>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</si>
  <si>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</si>
  <si>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</si>
  <si>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</si>
  <si>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</si>
  <si>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</si>
  <si>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</si>
  <si>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</si>
  <si>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</si>
  <si>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</si>
  <si>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</si>
  <si>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</si>
  <si>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</si>
  <si>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</si>
  <si>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</si>
  <si>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</si>
  <si>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</si>
  <si>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</si>
  <si>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</si>
  <si>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</si>
  <si>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</si>
  <si>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</si>
  <si>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</si>
  <si>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</si>
  <si>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</si>
  <si>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</si>
  <si>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</si>
  <si>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</si>
  <si>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</si>
  <si>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</si>
  <si>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</si>
  <si>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</si>
  <si>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</si>
  <si>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</si>
  <si>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</si>
  <si>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</si>
  <si>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</si>
  <si>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</si>
  <si>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</si>
  <si>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</si>
  <si>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</si>
  <si>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</si>
  <si>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</si>
  <si>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</si>
  <si>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</si>
  <si>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</si>
  <si>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</si>
  <si>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</si>
  <si>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</si>
  <si>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</si>
  <si>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</si>
  <si>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</si>
  <si>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</si>
  <si>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</si>
  <si>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</si>
  <si>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</si>
  <si>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</si>
  <si>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</si>
  <si>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</si>
  <si>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</si>
  <si>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</si>
  <si>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</si>
  <si>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</si>
  <si>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</si>
  <si>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</si>
  <si>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</si>
  <si>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</si>
  <si>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</si>
  <si>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</si>
  <si>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</si>
  <si>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</si>
  <si>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</si>
  <si>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</si>
  <si>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</si>
  <si>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</si>
  <si>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</si>
  <si>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</si>
  <si>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</si>
  <si>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</si>
  <si>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</si>
  <si>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</si>
  <si>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</si>
  <si>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</si>
  <si>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</si>
  <si>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</si>
  <si>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</si>
  <si>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</si>
  <si>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</si>
  <si>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</si>
  <si>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</si>
  <si>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</si>
  <si>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</si>
  <si>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</si>
  <si>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</si>
  <si>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</si>
  <si>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</si>
  <si>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</si>
  <si>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</si>
  <si>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</si>
  <si>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</si>
  <si>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</si>
  <si>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</si>
  <si>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</si>
  <si>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</si>
  <si>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</si>
  <si>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</si>
  <si>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</si>
  <si>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</si>
  <si>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</si>
  <si>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</si>
  <si>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</si>
  <si>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</si>
  <si>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</si>
  <si>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</si>
  <si>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</si>
  <si>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</si>
  <si>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</si>
  <si>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</si>
  <si>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</si>
  <si>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</si>
  <si>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</si>
  <si>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</si>
  <si>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</si>
  <si>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</si>
  <si>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</si>
  <si>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</si>
  <si>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</si>
  <si>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</si>
  <si>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</si>
  <si>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</si>
  <si>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</si>
  <si>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</si>
  <si>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</si>
  <si>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</si>
  <si>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</si>
  <si>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</si>
  <si>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</si>
  <si>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</si>
  <si>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</si>
  <si>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</si>
  <si>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</si>
  <si>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</si>
  <si>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</si>
  <si>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</si>
  <si>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</si>
  <si>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</si>
  <si>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</si>
  <si>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</si>
  <si>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</si>
  <si>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</si>
  <si>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</si>
  <si>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</si>
  <si>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</si>
  <si>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</si>
  <si>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</si>
  <si>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</si>
  <si>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</si>
  <si>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</si>
  <si>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</si>
  <si>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</si>
  <si>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</si>
  <si>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</si>
  <si>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</si>
  <si>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</si>
  <si>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</si>
  <si>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</si>
  <si>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</si>
  <si>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</si>
  <si>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</si>
  <si>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</si>
  <si>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</si>
  <si>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</si>
  <si>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</si>
  <si>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</si>
  <si>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</si>
  <si>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</si>
  <si>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</si>
  <si>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</si>
  <si>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</si>
  <si>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</si>
  <si>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</si>
  <si>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</si>
  <si>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</si>
  <si>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</si>
  <si>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</si>
  <si>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</si>
  <si>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</si>
  <si>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</si>
  <si>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</si>
  <si>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</si>
  <si>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</si>
  <si>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</si>
  <si>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</si>
  <si>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</si>
  <si>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</si>
  <si>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</si>
  <si>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</si>
  <si>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</si>
  <si>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</si>
  <si>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</si>
  <si>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</si>
  <si>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</si>
  <si>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</si>
  <si>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</si>
  <si>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</si>
  <si>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</si>
  <si>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</si>
  <si>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</si>
  <si>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</si>
  <si>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</si>
  <si>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</si>
  <si>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</si>
  <si>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</si>
  <si>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</si>
  <si>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</si>
  <si>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</si>
  <si>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</si>
  <si>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</si>
  <si>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</si>
  <si>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</si>
  <si>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</si>
  <si>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</si>
  <si>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</si>
  <si>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</si>
  <si>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</si>
  <si>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</si>
  <si>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</si>
  <si>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</si>
  <si>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</si>
  <si>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</si>
  <si>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</si>
  <si>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</si>
  <si>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</si>
  <si>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</si>
  <si>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</si>
  <si>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</si>
  <si>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</si>
  <si>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</si>
  <si>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</si>
  <si>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</si>
  <si>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</si>
  <si>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</si>
  <si>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</si>
  <si>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</si>
  <si>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</si>
  <si>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</si>
  <si>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</si>
  <si>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</si>
  <si>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</si>
  <si>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</si>
  <si>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</si>
  <si>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</si>
  <si>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</si>
  <si>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</si>
  <si>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</si>
  <si>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</si>
  <si>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</si>
  <si>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</si>
  <si>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</si>
  <si>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</si>
  <si>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</si>
  <si>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</si>
  <si>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</si>
  <si>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</si>
  <si>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</si>
  <si>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</si>
  <si>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</si>
  <si>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</si>
  <si>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</si>
  <si>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</si>
  <si>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</si>
  <si>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</si>
  <si>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</si>
  <si>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</si>
  <si>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</si>
  <si>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</si>
  <si>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</si>
  <si>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</si>
  <si>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</si>
  <si>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</si>
  <si>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</si>
  <si>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</si>
  <si>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</si>
  <si>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</si>
  <si>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</si>
  <si>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</si>
  <si>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</si>
  <si>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</si>
  <si>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</si>
  <si>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</si>
  <si>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</si>
  <si>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</si>
  <si>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</si>
  <si>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</si>
  <si>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</si>
  <si>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</si>
  <si>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</si>
  <si>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</si>
  <si>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</si>
  <si>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</si>
  <si>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</si>
  <si>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</si>
  <si>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</si>
  <si>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</si>
  <si>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</si>
  <si>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</si>
  <si>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</si>
  <si>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</si>
  <si>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</si>
  <si>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</si>
  <si>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</si>
  <si>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</si>
  <si>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</si>
  <si>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</si>
  <si>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</si>
  <si>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</si>
  <si>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</si>
  <si>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</si>
  <si>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</si>
  <si>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</si>
  <si>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</si>
  <si>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</si>
  <si>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</si>
  <si>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</si>
  <si>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</si>
  <si>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</si>
  <si>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</si>
  <si>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</si>
  <si>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</si>
  <si>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</si>
  <si>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</si>
  <si>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</si>
  <si>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</si>
  <si>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</si>
  <si>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</si>
  <si>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</si>
  <si>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</si>
  <si>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</si>
  <si>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</si>
  <si>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</si>
  <si>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</si>
  <si>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</si>
  <si>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</si>
  <si>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</si>
  <si>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</si>
  <si>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</si>
  <si>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</si>
  <si>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</si>
  <si>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</si>
  <si>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</si>
  <si>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</si>
  <si>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</si>
  <si>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</si>
  <si>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</si>
  <si>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</si>
  <si>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</si>
  <si>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</si>
  <si>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</si>
  <si>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</si>
  <si>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</si>
  <si>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</si>
  <si>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</si>
  <si>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</si>
  <si>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</si>
  <si>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</si>
  <si>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</si>
  <si>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</si>
  <si>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</si>
  <si>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</si>
  <si>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</si>
  <si>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</si>
  <si>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</si>
  <si>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</si>
  <si>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</si>
  <si>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</si>
  <si>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</si>
  <si>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</si>
  <si>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</si>
  <si>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</si>
  <si>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</si>
  <si>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</si>
  <si>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</si>
  <si>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</si>
  <si>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</si>
  <si>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</si>
  <si>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</si>
  <si>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</si>
  <si>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</si>
  <si>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</si>
  <si>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</si>
  <si>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</si>
  <si>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</si>
  <si>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</si>
  <si>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</si>
  <si>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</si>
  <si>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</si>
  <si>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</si>
  <si>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</si>
  <si>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</si>
  <si>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</si>
  <si>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</si>
  <si>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</si>
  <si>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</si>
  <si>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</si>
  <si>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</si>
  <si>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</si>
  <si>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</si>
  <si>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</si>
  <si>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</si>
  <si>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</si>
  <si>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</si>
  <si>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</si>
  <si>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</si>
  <si>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</si>
  <si>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</si>
  <si>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</si>
  <si>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</si>
  <si>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</si>
  <si>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</si>
  <si>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</si>
  <si>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</si>
  <si>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</si>
  <si>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</si>
  <si>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</si>
  <si>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</si>
  <si>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</si>
  <si>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</si>
  <si>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</si>
  <si>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</si>
  <si>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</si>
  <si>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</si>
  <si>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</si>
  <si>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</si>
  <si>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</si>
  <si>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</si>
  <si>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</si>
  <si>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</si>
  <si>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</si>
  <si>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</si>
  <si>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</si>
  <si>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</si>
  <si>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</si>
  <si>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</si>
  <si>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</si>
  <si>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</si>
  <si>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</si>
  <si>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</si>
  <si>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</si>
  <si>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</si>
  <si>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</si>
  <si>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</si>
  <si>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</si>
  <si>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</si>
  <si>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</si>
  <si>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</si>
  <si>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</si>
  <si>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</si>
  <si>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</si>
  <si>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</si>
  <si>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</si>
  <si>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</si>
  <si>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</si>
  <si>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</si>
  <si>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</si>
  <si>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</si>
  <si>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</si>
  <si>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</si>
  <si>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</si>
  <si>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</si>
  <si>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</si>
  <si>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</si>
  <si>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</si>
  <si>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</si>
  <si>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</si>
  <si>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</si>
  <si>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</si>
  <si>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</si>
  <si>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</si>
  <si>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</si>
  <si>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</si>
  <si>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</si>
  <si>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</si>
  <si>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</si>
  <si>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</si>
  <si>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</si>
  <si>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</si>
  <si>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</si>
  <si>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</si>
  <si>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</si>
  <si>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</si>
  <si>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</si>
  <si>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</si>
  <si>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</si>
  <si>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</si>
  <si>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</si>
  <si>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</si>
  <si>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</si>
  <si>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</si>
  <si>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</si>
  <si>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</si>
  <si>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</si>
  <si>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</si>
  <si>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</si>
  <si>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</si>
  <si>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</si>
  <si>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</si>
  <si>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</si>
  <si>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</si>
  <si>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</si>
  <si>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</si>
  <si>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</si>
  <si>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</si>
  <si>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</si>
  <si>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</si>
  <si>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</si>
  <si>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</si>
  <si>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</si>
  <si>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</si>
  <si>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</si>
  <si>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</si>
  <si>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</si>
  <si>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</si>
  <si>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</si>
  <si>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</si>
  <si>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</si>
  <si>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</si>
  <si>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</si>
  <si>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</si>
  <si>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</si>
  <si>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</si>
  <si>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</si>
  <si>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</si>
  <si>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</si>
  <si>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</si>
  <si>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</si>
  <si>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</si>
  <si>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</si>
  <si>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</si>
  <si>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</si>
  <si>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</si>
  <si>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</si>
  <si>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</si>
  <si>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</si>
  <si>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</si>
  <si>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</si>
  <si>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</si>
  <si>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</si>
  <si>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</si>
  <si>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</si>
  <si>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</si>
  <si>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</si>
  <si>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</si>
  <si>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</si>
  <si>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</si>
  <si>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</si>
  <si>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</si>
  <si>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</si>
  <si>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</si>
  <si>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</si>
  <si>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</si>
  <si>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</si>
  <si>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</si>
  <si>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</si>
  <si>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</si>
  <si>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</si>
  <si>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</si>
  <si>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</si>
  <si>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</si>
  <si>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</si>
  <si>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</si>
  <si>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</si>
  <si>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</si>
  <si>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</si>
  <si>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</si>
  <si>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</si>
  <si>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</si>
  <si>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</si>
  <si>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</si>
  <si>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</si>
  <si>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</si>
  <si>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</si>
  <si>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</si>
  <si>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</si>
  <si>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</si>
  <si>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</si>
  <si>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</si>
  <si>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</si>
  <si>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</si>
  <si>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</si>
  <si>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</si>
  <si>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</si>
  <si>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</si>
  <si>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</si>
  <si>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</si>
  <si>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</si>
  <si>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</si>
  <si>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</si>
  <si>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</si>
  <si>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</si>
  <si>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</si>
  <si>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</si>
  <si>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</si>
  <si>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</si>
  <si>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</si>
  <si>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</si>
  <si>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</si>
  <si>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</si>
  <si>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</si>
  <si>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</si>
  <si>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</si>
  <si>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</si>
  <si>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</si>
  <si>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</si>
  <si>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</si>
  <si>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</si>
  <si>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</si>
  <si>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</si>
  <si>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</si>
  <si>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</si>
  <si>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</si>
  <si>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</si>
  <si>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</si>
  <si>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</si>
  <si>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</si>
  <si>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</si>
  <si>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</si>
  <si>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</si>
  <si>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</si>
  <si>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</si>
  <si>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</si>
  <si>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</si>
  <si>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</si>
  <si>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</si>
  <si>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</si>
  <si>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</si>
  <si>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</si>
  <si>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</si>
  <si>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</si>
  <si>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</si>
  <si>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</si>
  <si>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</si>
  <si>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</si>
  <si>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</si>
  <si>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</si>
  <si>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</si>
  <si>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</si>
  <si>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</si>
  <si>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</si>
  <si>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</si>
  <si>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</si>
  <si>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</si>
  <si>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</si>
  <si>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</si>
  <si>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</si>
  <si>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</si>
  <si>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</si>
  <si>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</si>
  <si>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</si>
  <si>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</si>
  <si>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</si>
  <si>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</si>
  <si>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</si>
  <si>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</si>
  <si>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</si>
  <si>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</si>
  <si>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</si>
  <si>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</si>
  <si>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</si>
  <si>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</si>
  <si>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</si>
  <si>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</si>
  <si>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</si>
  <si>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</si>
  <si>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</si>
  <si>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</si>
  <si>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</si>
  <si>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</si>
  <si>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</si>
  <si>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</si>
  <si>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</si>
  <si>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</si>
  <si>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</si>
  <si>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</si>
  <si>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</si>
  <si>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</si>
  <si>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</si>
  <si>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</si>
  <si>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</si>
  <si>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</si>
  <si>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</si>
  <si>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</si>
  <si>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</si>
  <si>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</si>
  <si>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</si>
  <si>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</si>
  <si>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</si>
  <si>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</si>
  <si>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</si>
  <si>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</si>
  <si>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</si>
  <si>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</si>
  <si>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</si>
  <si>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</si>
  <si>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</si>
  <si>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</si>
  <si>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</si>
  <si>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</si>
  <si>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</si>
  <si>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</si>
  <si>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</si>
  <si>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</si>
  <si>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</si>
  <si>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</si>
  <si>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</si>
  <si>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</si>
  <si>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</si>
  <si>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</si>
  <si>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</si>
  <si>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</si>
  <si>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</si>
  <si>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</si>
  <si>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</si>
  <si>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</si>
  <si>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</si>
  <si>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</si>
  <si>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</si>
  <si>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</si>
  <si>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</si>
  <si>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</si>
  <si>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</si>
  <si>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</si>
  <si>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</si>
  <si>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</si>
  <si>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</si>
  <si>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</si>
  <si>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</si>
  <si>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</si>
  <si>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</si>
  <si>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</si>
  <si>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</si>
  <si>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</si>
  <si>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</si>
  <si>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</si>
  <si>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</si>
  <si>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</si>
  <si>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</si>
  <si>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</si>
  <si>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</si>
  <si>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</si>
  <si>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</si>
  <si>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</si>
  <si>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</si>
  <si>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</si>
  <si>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</si>
  <si>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</si>
  <si>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</si>
  <si>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</si>
  <si>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</si>
  <si>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</si>
  <si>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</si>
  <si>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</si>
  <si>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</si>
  <si>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</si>
  <si>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</si>
  <si>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</si>
  <si>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</si>
  <si>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</si>
  <si>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</si>
  <si>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</si>
  <si>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</si>
  <si>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</si>
  <si>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</si>
  <si>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</si>
  <si>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</si>
  <si>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</si>
  <si>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</si>
  <si>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</si>
  <si>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</si>
  <si>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</si>
  <si>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</si>
  <si>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</si>
  <si>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</si>
  <si>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</si>
  <si>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</si>
  <si>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</si>
  <si>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</si>
  <si>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</si>
  <si>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</si>
  <si>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</si>
  <si>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</si>
  <si>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</si>
  <si>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</si>
  <si>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</si>
  <si>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</si>
  <si>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</si>
  <si>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</si>
  <si>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</si>
  <si>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</si>
  <si>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</si>
  <si>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</si>
  <si>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</si>
  <si>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</si>
  <si>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</si>
  <si>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</si>
  <si>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</si>
  <si>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</si>
  <si>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</si>
  <si>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</si>
  <si>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</si>
  <si>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</si>
  <si>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</si>
  <si>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</si>
  <si>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</si>
  <si>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</si>
  <si>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</si>
  <si>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</si>
  <si>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</si>
  <si>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</si>
  <si>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</si>
  <si>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</si>
  <si>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</si>
  <si>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</si>
  <si>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</si>
  <si>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</si>
  <si>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</si>
  <si>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</si>
  <si>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</si>
  <si>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</si>
  <si>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</si>
  <si>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</si>
  <si>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</si>
  <si>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</si>
  <si>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</si>
  <si>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</si>
  <si>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</si>
  <si>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</si>
  <si>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</si>
  <si>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</si>
  <si>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</si>
  <si>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</si>
  <si>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</si>
  <si>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</si>
  <si>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</si>
  <si>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</si>
  <si>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</si>
  <si>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</si>
  <si>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</si>
  <si>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</si>
  <si>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</si>
  <si>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</si>
  <si>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</si>
  <si>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</si>
  <si>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</si>
  <si>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</si>
  <si>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</si>
  <si>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</si>
  <si>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</si>
  <si>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</si>
  <si>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</si>
  <si>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</si>
  <si>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</si>
  <si>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</si>
  <si>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</si>
  <si>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</si>
  <si>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</si>
  <si>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</si>
  <si>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</si>
  <si>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</si>
  <si>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</si>
  <si>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</si>
  <si>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</si>
  <si>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</si>
  <si>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</si>
  <si>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</si>
  <si>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</si>
  <si>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</si>
  <si>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</si>
  <si>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</si>
  <si>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</si>
  <si>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</si>
  <si>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</si>
  <si>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</si>
  <si>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</si>
  <si>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</si>
  <si>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</si>
  <si>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</si>
  <si>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</si>
  <si>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</si>
  <si>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</si>
  <si>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</si>
  <si>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</si>
  <si>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</si>
  <si>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</si>
  <si>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</si>
  <si>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</si>
  <si>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</si>
  <si>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</si>
  <si>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</si>
  <si>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</si>
  <si>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</si>
  <si>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</si>
  <si>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</si>
  <si>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</si>
  <si>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</si>
  <si>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</si>
  <si>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</si>
  <si>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</si>
  <si>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</si>
  <si>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</si>
  <si>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</si>
  <si>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</si>
  <si>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</si>
  <si>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</si>
  <si>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</si>
  <si>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</si>
  <si>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</si>
  <si>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</si>
  <si>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</si>
  <si>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</si>
  <si>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</si>
  <si>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</si>
  <si>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</si>
  <si>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</si>
  <si>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</si>
  <si>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</si>
  <si>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</si>
  <si>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</si>
  <si>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</si>
  <si>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</si>
  <si>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</si>
  <si>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</si>
  <si>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</si>
  <si>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</si>
  <si>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</si>
  <si>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</si>
  <si>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</si>
  <si>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</si>
  <si>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</si>
  <si>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</si>
  <si>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</si>
  <si>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</si>
  <si>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</si>
  <si>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</si>
  <si>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</si>
  <si>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</si>
  <si>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</si>
  <si>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</si>
  <si>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</si>
  <si>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</si>
  <si>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</si>
  <si>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</si>
  <si>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</si>
  <si>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</si>
  <si>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</si>
  <si>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</si>
  <si>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</si>
  <si>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</si>
  <si>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</si>
  <si>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</si>
  <si>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</si>
  <si>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</si>
  <si>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</si>
  <si>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</si>
  <si>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</si>
  <si>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</si>
  <si>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</si>
  <si>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</si>
  <si>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</si>
  <si>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</si>
  <si>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</si>
  <si>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</si>
  <si>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</si>
  <si>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</si>
  <si>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</si>
  <si>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</si>
  <si>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</si>
  <si>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</si>
  <si>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</si>
  <si>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</si>
  <si>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</si>
  <si>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</si>
  <si>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</si>
  <si>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</si>
  <si>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</si>
  <si>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</si>
  <si>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</si>
  <si>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</si>
  <si>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</si>
  <si>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</si>
  <si>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</si>
  <si>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</si>
  <si>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</si>
  <si>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</si>
  <si>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</si>
  <si>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</si>
  <si>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</si>
  <si>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</si>
  <si>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</si>
  <si>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</si>
  <si>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</si>
  <si>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</si>
  <si>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</si>
  <si>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</si>
  <si>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</si>
  <si>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</si>
  <si>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</si>
  <si>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</si>
  <si>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</si>
  <si>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</si>
  <si>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</si>
  <si>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</si>
  <si>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</si>
  <si>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</si>
  <si>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</si>
  <si>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</si>
  <si>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</si>
  <si>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</si>
  <si>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</si>
  <si>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</si>
  <si>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</si>
  <si>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Count</t>
  </si>
  <si>
    <t>Sum of CF_attrition rate</t>
  </si>
  <si>
    <t>Sum of CF_current Employee</t>
  </si>
  <si>
    <t>Average of Age</t>
  </si>
  <si>
    <t>Active Employee</t>
  </si>
  <si>
    <t>Attrition rate</t>
  </si>
  <si>
    <t>Average Age</t>
  </si>
  <si>
    <t>Average of Job Satisfaction</t>
  </si>
  <si>
    <t>Max rate</t>
  </si>
  <si>
    <t>Rate</t>
  </si>
  <si>
    <t>unrate</t>
  </si>
  <si>
    <t>Row Labels</t>
  </si>
  <si>
    <t>Grand Total</t>
  </si>
  <si>
    <t>Sum of Employee Count</t>
  </si>
  <si>
    <t>attrition rate</t>
  </si>
  <si>
    <t>Sum of CF_attrition count</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</si>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</sst>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_(* #,##0_);_(* \(#,##0\);_(* &quot;-&quot;??_);_(@_)"/>
    <numFmt numFmtId="166" formatCode="0.0%"/>
  </numFmts>
  <fonts count="4"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s>
  <cellStyleXfs count="3">
    <xf numFmtId="0" fontId="0" fillId="0" borderId="0"/>
    <xf numFmtId="43" fontId="2" fillId="0" borderId="0" applyFont="0" applyFill="0" applyBorder="0" applyAlignment="0" applyProtection="0"/>
    <xf numFmtId="9" fontId="3" fillId="0" borderId="0" applyFont="0" applyFill="0" applyBorder="0" applyAlignment="0" applyProtection="0"/>
  </cellStyleXfs>
  <cellXfs count="27">
    <xf numFmtId="0" fontId="0" fillId="0" borderId="0" xfId="0"/>
    <xf numFmtId="0" fontId="1" fillId="0" borderId="0" xfId="0" applyFont="1"/>
    <xf numFmtId="0" fontId="0" fillId="0" borderId="1" xfId="0" applyBorder="1"/>
    <xf numFmtId="0" fontId="0" fillId="0" borderId="2" xfId="0" applyBorder="1"/>
    <xf numFmtId="0" fontId="0" fillId="0" borderId="4" xfId="0" applyBorder="1"/>
    <xf numFmtId="0" fontId="0" fillId="0" borderId="7" xfId="0" applyBorder="1"/>
    <xf numFmtId="164" fontId="0" fillId="0" borderId="6" xfId="0" applyNumberFormat="1" applyBorder="1"/>
    <xf numFmtId="9" fontId="0" fillId="0" borderId="0" xfId="0" applyNumberFormat="1"/>
    <xf numFmtId="165" fontId="0" fillId="0" borderId="0" xfId="1" applyNumberFormat="1" applyFont="1"/>
    <xf numFmtId="166" fontId="0" fillId="0" borderId="0" xfId="0" applyNumberFormat="1"/>
    <xf numFmtId="164" fontId="0" fillId="0" borderId="0" xfId="0" applyNumberFormat="1"/>
    <xf numFmtId="164" fontId="0" fillId="0" borderId="3" xfId="0" applyNumberFormat="1" applyBorder="1"/>
    <xf numFmtId="0" fontId="0" fillId="0" borderId="1" xfId="0" pivotButton="1" applyBorder="1"/>
    <xf numFmtId="0" fontId="0" fillId="0" borderId="1" xfId="0" applyBorder="1" applyAlignment="1">
      <alignment horizontal="left"/>
    </xf>
    <xf numFmtId="0" fontId="0" fillId="0" borderId="2" xfId="0" applyNumberFormat="1" applyBorder="1"/>
    <xf numFmtId="0" fontId="0" fillId="0" borderId="9" xfId="0" applyBorder="1" applyAlignment="1">
      <alignment horizontal="left"/>
    </xf>
    <xf numFmtId="0" fontId="0" fillId="0" borderId="10" xfId="0" applyNumberFormat="1" applyBorder="1"/>
    <xf numFmtId="0" fontId="0" fillId="0" borderId="5" xfId="0" applyBorder="1" applyAlignment="1">
      <alignment horizontal="left"/>
    </xf>
    <xf numFmtId="0" fontId="0" fillId="0" borderId="3" xfId="0" applyNumberFormat="1" applyBorder="1"/>
    <xf numFmtId="0" fontId="0" fillId="0" borderId="0" xfId="0" applyFill="1" applyBorder="1" applyAlignment="1">
      <alignment horizontal="left"/>
    </xf>
    <xf numFmtId="9" fontId="0" fillId="0" borderId="0" xfId="2" applyFont="1"/>
    <xf numFmtId="0" fontId="0" fillId="0" borderId="5" xfId="0" applyNumberFormat="1" applyBorder="1"/>
    <xf numFmtId="9" fontId="0" fillId="0" borderId="2" xfId="0" applyNumberFormat="1" applyBorder="1"/>
    <xf numFmtId="9" fontId="0" fillId="0" borderId="10" xfId="0" applyNumberFormat="1" applyBorder="1"/>
    <xf numFmtId="9" fontId="0" fillId="0" borderId="3" xfId="0" applyNumberFormat="1" applyBorder="1"/>
    <xf numFmtId="0" fontId="0" fillId="0" borderId="8" xfId="0" applyNumberFormat="1" applyBorder="1"/>
    <xf numFmtId="0" fontId="0" fillId="0" borderId="0" xfId="0" applyProtection="1">
      <protection locked="0"/>
    </xf>
  </cellXfs>
  <cellStyles count="3">
    <cellStyle name="Comma" xfId="1" builtinId="3"/>
    <cellStyle name="Normal" xfId="0" builtinId="0"/>
    <cellStyle name="Percent" xfId="2" builtinId="5"/>
  </cellStyles>
  <dxfs count="7">
    <dxf>
      <fill>
        <patternFill>
          <bgColor theme="8" tint="-0.24994659260841701"/>
        </patternFill>
      </fill>
    </dxf>
    <dxf>
      <numFmt numFmtId="13" formatCode="0%"/>
    </dxf>
    <dxf>
      <numFmt numFmtId="164" formatCode="0.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6"/>
      <tableStyleElement type="firstRowStripe" dxfId="5"/>
      <tableStyleElement type="secondRowStripe" dxfId="4"/>
    </tableStyle>
    <tableStyle name="Slicer Style 1" pivot="0" table="0" count="3" xr9:uid="{74311E5B-8124-4A59-822D-D6A201D3642A}">
      <tableStyleElement type="wholeTable" dxfId="0"/>
    </tableStyle>
  </tableStyles>
  <extLst>
    <ext xmlns:x14="http://schemas.microsoft.com/office/spreadsheetml/2009/9/main" uri="{46F421CA-312F-682f-3DD2-61675219B42D}">
      <x14:dxfs count="2">
        <dxf>
          <fill>
            <patternFill>
              <bgColor theme="0"/>
            </patternFill>
          </fill>
        </dxf>
        <dxf>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DATA_Excel.xlsx]Sheet4!PivotTable6</c:name>
    <c:fmtId val="1"/>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Total</c:v>
                </c:pt>
              </c:strCache>
            </c:strRef>
          </c:tx>
          <c:dPt>
            <c:idx val="0"/>
            <c:bubble3D val="0"/>
            <c:spPr>
              <a:solidFill>
                <a:schemeClr val="accent5">
                  <a:shade val="65000"/>
                </a:schemeClr>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5">
                  <a:tint val="65000"/>
                </a:schemeClr>
              </a:solidFill>
              <a:ln w="19050">
                <a:solidFill>
                  <a:schemeClr val="lt1"/>
                </a:solidFill>
              </a:ln>
              <a:effectLst/>
            </c:spPr>
          </c:dPt>
          <c:cat>
            <c:strRef>
              <c:f>Sheet4!$A$4:$A$7</c:f>
              <c:strCache>
                <c:ptCount val="3"/>
                <c:pt idx="0">
                  <c:v>HR</c:v>
                </c:pt>
                <c:pt idx="1">
                  <c:v>R&amp;D</c:v>
                </c:pt>
                <c:pt idx="2">
                  <c:v>Sales</c:v>
                </c:pt>
              </c:strCache>
            </c:strRef>
          </c:cat>
          <c:val>
            <c:numRef>
              <c:f>Sheet4!$B$4:$B$7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928-4002-8A26-56AC61F97CB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DATA_Excel.xlsx]Sheet5!PivotTable7</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2"/>
            </a:solidFill>
            <a:ln>
              <a:noFill/>
            </a:ln>
            <a:effectLst/>
          </c:spPr>
          <c:invertIfNegative val="0"/>
          <c:cat>
            <c:strRef>
              <c:f>Sheet5!$A$4:$A$9</c:f>
              <c:strCache>
                <c:ptCount val="5"/>
                <c:pt idx="0">
                  <c:v>25 - 34</c:v>
                </c:pt>
                <c:pt idx="1">
                  <c:v>35 - 44</c:v>
                </c:pt>
                <c:pt idx="2">
                  <c:v>Under 25</c:v>
                </c:pt>
                <c:pt idx="3">
                  <c:v>45 - 54</c:v>
                </c:pt>
                <c:pt idx="4">
                  <c:v>Over 55</c:v>
                </c:pt>
              </c:strCache>
            </c:strRef>
          </c:cat>
          <c:val>
            <c:numRef>
              <c:f>Sheet5!$B$4:$B$9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3E6-45A6-AA82-CC6D486DA61D}"/>
            </c:ext>
          </c:extLst>
        </c:ser>
        <c:dLbls>
          <c:showLegendKey val="0"/>
          <c:showVal val="0"/>
          <c:showCatName val="0"/>
          <c:showSerName val="0"/>
          <c:showPercent val="0"/>
          <c:showBubbleSize val="0"/>
        </c:dLbls>
        <c:gapWidth val="219"/>
        <c:overlap val="-27"/>
        <c:axId val="1218908223"/>
        <c:axId val="1218908703"/>
      </c:barChart>
      <c:catAx>
        <c:axId val="1218908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08703"/>
        <c:crosses val="autoZero"/>
        <c:auto val="1"/>
        <c:lblAlgn val="ctr"/>
        <c:lblOffset val="100"/>
        <c:noMultiLvlLbl val="0"/>
      </c:catAx>
      <c:valAx>
        <c:axId val="121890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3A61-4E5D-BCB4-FB461DD395C7}"/>
            </c:ext>
          </c:extLst>
        </c:ser>
        <c:dLbls>
          <c:dLblPos val="outEnd"/>
          <c:showLegendKey val="0"/>
          <c:showVal val="1"/>
          <c:showCatName val="0"/>
          <c:showSerName val="0"/>
          <c:showPercent val="0"/>
          <c:showBubbleSize val="0"/>
        </c:dLbls>
        <c:gapWidth val="182"/>
        <c:axId val="618118735"/>
        <c:axId val="618120175"/>
      </c:barChart>
      <c:catAx>
        <c:axId val="61811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20175"/>
        <c:crosses val="autoZero"/>
        <c:auto val="1"/>
        <c:lblAlgn val="ctr"/>
        <c:lblOffset val="100"/>
        <c:noMultiLvlLbl val="0"/>
      </c:catAx>
      <c:valAx>
        <c:axId val="618120175"/>
        <c:scaling>
          <c:orientation val="minMax"/>
          <c:max val="100"/>
        </c:scaling>
        <c:delete val="1"/>
        <c:axPos val="b"/>
        <c:numFmt formatCode="General" sourceLinked="1"/>
        <c:majorTickMark val="none"/>
        <c:minorTickMark val="none"/>
        <c:tickLblPos val="nextTo"/>
        <c:crossAx val="6181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55290667279992E-2"/>
          <c:y val="6.6233001309992282E-2"/>
          <c:w val="0.85355270983504428"/>
          <c:h val="0.85843413059570262"/>
        </c:manualLayout>
      </c:layout>
      <c:barChart>
        <c:barDir val="bar"/>
        <c:grouping val="percentStacked"/>
        <c:varyColors val="0"/>
        <c:ser>
          <c:idx val="0"/>
          <c:order val="0"/>
          <c:spPr>
            <a:solidFill>
              <a:schemeClr val="accent1"/>
            </a:solidFill>
            <a:ln>
              <a:noFill/>
            </a:ln>
            <a:effectLst/>
          </c:spPr>
          <c:invertIfNegative val="0"/>
          <c:val>
            <c:numRef>
              <c:f>KPI!$G$7</c:f>
              <c:numCache>
                <c:formatCode>0.0</c:formatCode>
                <c:ptCount val="1"/>
                <c:pt idx="0">
                  <c:v>2.6265306122448981</c:v>
                </c:pt>
              </c:numCache>
            </c:numRef>
          </c:val>
          <c:extLst>
            <c:ext xmlns:c16="http://schemas.microsoft.com/office/drawing/2014/chart" uri="{C3380CC4-5D6E-409C-BE32-E72D297353CC}">
              <c16:uniqueId val="{00000000-0D7A-4295-8456-2BD0975A7472}"/>
            </c:ext>
          </c:extLst>
        </c:ser>
        <c:ser>
          <c:idx val="1"/>
          <c:order val="1"/>
          <c:spPr>
            <a:solidFill>
              <a:schemeClr val="accent2"/>
            </a:solidFill>
            <a:ln>
              <a:noFill/>
            </a:ln>
            <a:effectLst/>
          </c:spPr>
          <c:invertIfNegative val="0"/>
          <c:val>
            <c:numRef>
              <c:f>KPI!$G$8</c:f>
              <c:numCache>
                <c:formatCode>0.0</c:formatCode>
                <c:ptCount val="1"/>
                <c:pt idx="0">
                  <c:v>1.3734693877551019</c:v>
                </c:pt>
              </c:numCache>
            </c:numRef>
          </c:val>
          <c:extLst>
            <c:ext xmlns:c16="http://schemas.microsoft.com/office/drawing/2014/chart" uri="{C3380CC4-5D6E-409C-BE32-E72D297353CC}">
              <c16:uniqueId val="{00000005-0D7A-4295-8456-2BD0975A7472}"/>
            </c:ext>
          </c:extLst>
        </c:ser>
        <c:dLbls>
          <c:dLblPos val="ctr"/>
          <c:showLegendKey val="0"/>
          <c:showVal val="0"/>
          <c:showCatName val="0"/>
          <c:showSerName val="0"/>
          <c:showPercent val="0"/>
          <c:showBubbleSize val="0"/>
        </c:dLbls>
        <c:gapWidth val="182"/>
        <c:overlap val="100"/>
        <c:axId val="618110575"/>
        <c:axId val="618108655"/>
      </c:barChart>
      <c:catAx>
        <c:axId val="618110575"/>
        <c:scaling>
          <c:orientation val="minMax"/>
        </c:scaling>
        <c:delete val="1"/>
        <c:axPos val="l"/>
        <c:numFmt formatCode="General" sourceLinked="1"/>
        <c:majorTickMark val="out"/>
        <c:minorTickMark val="none"/>
        <c:tickLblPos val="nextTo"/>
        <c:crossAx val="618108655"/>
        <c:crosses val="autoZero"/>
        <c:auto val="1"/>
        <c:lblAlgn val="ctr"/>
        <c:lblOffset val="100"/>
        <c:noMultiLvlLbl val="0"/>
      </c:catAx>
      <c:valAx>
        <c:axId val="618108655"/>
        <c:scaling>
          <c:orientation val="minMax"/>
        </c:scaling>
        <c:delete val="1"/>
        <c:axPos val="b"/>
        <c:numFmt formatCode="0%" sourceLinked="0"/>
        <c:majorTickMark val="out"/>
        <c:minorTickMark val="none"/>
        <c:tickLblPos val="nextTo"/>
        <c:crossAx val="6181105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88416723956012"/>
          <c:y val="0"/>
          <c:w val="0.63151342081605211"/>
          <c:h val="0.81777769661616961"/>
        </c:manualLayout>
      </c:layout>
      <c:doughnutChart>
        <c:varyColors val="1"/>
        <c:ser>
          <c:idx val="0"/>
          <c:order val="0"/>
          <c:dPt>
            <c:idx val="0"/>
            <c:bubble3D val="0"/>
            <c:spPr>
              <a:gradFill>
                <a:gsLst>
                  <a:gs pos="16000">
                    <a:srgbClr val="002060"/>
                  </a:gs>
                  <a:gs pos="100000">
                    <a:schemeClr val="accent5">
                      <a:lumMod val="60000"/>
                      <a:lumOff val="40000"/>
                    </a:schemeClr>
                  </a:gs>
                </a:gsLst>
                <a:lin ang="5400000" scaled="1"/>
              </a:gradFill>
              <a:ln w="19050">
                <a:noFill/>
              </a:ln>
              <a:effectLst/>
            </c:spPr>
            <c:extLst>
              <c:ext xmlns:c16="http://schemas.microsoft.com/office/drawing/2014/chart" uri="{C3380CC4-5D6E-409C-BE32-E72D297353CC}">
                <c16:uniqueId val="{00000001-620B-4844-A950-F170CCC20789}"/>
              </c:ext>
            </c:extLst>
          </c:dPt>
          <c:dPt>
            <c:idx val="1"/>
            <c:bubble3D val="0"/>
            <c:spPr>
              <a:noFill/>
              <a:ln w="19050">
                <a:noFill/>
              </a:ln>
              <a:effectLst/>
            </c:spPr>
            <c:extLst>
              <c:ext xmlns:c16="http://schemas.microsoft.com/office/drawing/2014/chart" uri="{C3380CC4-5D6E-409C-BE32-E72D297353CC}">
                <c16:uniqueId val="{00000003-620B-4844-A950-F170CCC20789}"/>
              </c:ext>
            </c:extLst>
          </c:dPt>
          <c:val>
            <c:numRef>
              <c:f>KPI!$H$7:$H$8</c:f>
              <c:numCache>
                <c:formatCode>0%</c:formatCode>
                <c:ptCount val="2"/>
                <c:pt idx="0">
                  <c:v>0.65663265306122454</c:v>
                </c:pt>
                <c:pt idx="1">
                  <c:v>0.34336734693877546</c:v>
                </c:pt>
              </c:numCache>
            </c:numRef>
          </c:val>
          <c:extLst>
            <c:ext xmlns:c16="http://schemas.microsoft.com/office/drawing/2014/chart" uri="{C3380CC4-5D6E-409C-BE32-E72D297353CC}">
              <c16:uniqueId val="{00000004-620B-4844-A950-F170CCC2078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55290667279992E-2"/>
          <c:y val="6.6233001309992282E-2"/>
          <c:w val="0.85355270983504428"/>
          <c:h val="0.93376648872747015"/>
        </c:manualLayout>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63B6-466F-B602-EF27E1725DAA}"/>
              </c:ext>
            </c:extLst>
          </c:dPt>
          <c:val>
            <c:numRef>
              <c:f>KPI!$G$7</c:f>
              <c:numCache>
                <c:formatCode>0.0</c:formatCode>
                <c:ptCount val="1"/>
                <c:pt idx="0">
                  <c:v>2.6265306122448981</c:v>
                </c:pt>
              </c:numCache>
            </c:numRef>
          </c:val>
          <c:extLst>
            <c:ext xmlns:c16="http://schemas.microsoft.com/office/drawing/2014/chart" uri="{C3380CC4-5D6E-409C-BE32-E72D297353CC}">
              <c16:uniqueId val="{00000000-63B6-466F-B602-EF27E1725DAA}"/>
            </c:ext>
          </c:extLst>
        </c:ser>
        <c:ser>
          <c:idx val="1"/>
          <c:order val="1"/>
          <c:spPr>
            <a:solidFill>
              <a:schemeClr val="bg1">
                <a:lumMod val="95000"/>
              </a:schemeClr>
            </a:solidFill>
            <a:ln>
              <a:noFill/>
            </a:ln>
            <a:effectLst/>
          </c:spPr>
          <c:invertIfNegative val="0"/>
          <c:val>
            <c:numRef>
              <c:f>KPI!$G$8</c:f>
              <c:numCache>
                <c:formatCode>0.0</c:formatCode>
                <c:ptCount val="1"/>
                <c:pt idx="0">
                  <c:v>1.3734693877551019</c:v>
                </c:pt>
              </c:numCache>
            </c:numRef>
          </c:val>
          <c:extLst>
            <c:ext xmlns:c16="http://schemas.microsoft.com/office/drawing/2014/chart" uri="{C3380CC4-5D6E-409C-BE32-E72D297353CC}">
              <c16:uniqueId val="{00000001-63B6-466F-B602-EF27E1725DAA}"/>
            </c:ext>
          </c:extLst>
        </c:ser>
        <c:dLbls>
          <c:showLegendKey val="0"/>
          <c:showVal val="0"/>
          <c:showCatName val="0"/>
          <c:showSerName val="0"/>
          <c:showPercent val="0"/>
          <c:showBubbleSize val="0"/>
        </c:dLbls>
        <c:gapWidth val="25"/>
        <c:overlap val="100"/>
        <c:axId val="618110575"/>
        <c:axId val="618108655"/>
      </c:barChart>
      <c:catAx>
        <c:axId val="618110575"/>
        <c:scaling>
          <c:orientation val="minMax"/>
        </c:scaling>
        <c:delete val="1"/>
        <c:axPos val="l"/>
        <c:numFmt formatCode="General" sourceLinked="1"/>
        <c:majorTickMark val="out"/>
        <c:minorTickMark val="none"/>
        <c:tickLblPos val="nextTo"/>
        <c:crossAx val="618108655"/>
        <c:crosses val="autoZero"/>
        <c:auto val="1"/>
        <c:lblAlgn val="ctr"/>
        <c:lblOffset val="100"/>
        <c:noMultiLvlLbl val="0"/>
      </c:catAx>
      <c:valAx>
        <c:axId val="618108655"/>
        <c:scaling>
          <c:orientation val="minMax"/>
        </c:scaling>
        <c:delete val="1"/>
        <c:axPos val="b"/>
        <c:numFmt formatCode="0%" sourceLinked="0"/>
        <c:majorTickMark val="out"/>
        <c:minorTickMark val="none"/>
        <c:tickLblPos val="nextTo"/>
        <c:crossAx val="6181105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999979822844576E-2"/>
          <c:y val="0.13337306681337488"/>
          <c:w val="0.77450011097435478"/>
          <c:h val="0.73325463047863559"/>
        </c:manualLayout>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F4CC-4F5A-8151-1CABD24608C8}"/>
              </c:ext>
            </c:extLst>
          </c:dPt>
          <c:dPt>
            <c:idx val="1"/>
            <c:bubble3D val="0"/>
            <c:spPr>
              <a:gradFill>
                <a:gsLst>
                  <a:gs pos="18000">
                    <a:srgbClr val="002060"/>
                  </a:gs>
                  <a:gs pos="89000">
                    <a:schemeClr val="accent1">
                      <a:lumMod val="75000"/>
                    </a:schemeClr>
                  </a:gs>
                </a:gsLst>
                <a:lin ang="10800000" scaled="0"/>
              </a:gradFill>
              <a:ln w="19050">
                <a:noFill/>
              </a:ln>
              <a:effectLst/>
            </c:spPr>
            <c:extLst>
              <c:ext xmlns:c16="http://schemas.microsoft.com/office/drawing/2014/chart" uri="{C3380CC4-5D6E-409C-BE32-E72D297353CC}">
                <c16:uniqueId val="{00000003-F4CC-4F5A-8151-1CABD24608C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4CC-4F5A-8151-1CABD24608C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999979822844576E-2"/>
          <c:y val="0.13337306681337488"/>
          <c:w val="0.77450011097435478"/>
          <c:h val="0.73325463047863559"/>
        </c:manualLayout>
      </c:layout>
      <c:doughnutChart>
        <c:varyColors val="1"/>
        <c:ser>
          <c:idx val="0"/>
          <c:order val="0"/>
          <c:dPt>
            <c:idx val="0"/>
            <c:bubble3D val="0"/>
            <c:spPr>
              <a:gradFill>
                <a:gsLst>
                  <a:gs pos="45000">
                    <a:srgbClr val="7030A0"/>
                  </a:gs>
                  <a:gs pos="87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F4CC-4F5A-8151-1CABD24608C8}"/>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F4CC-4F5A-8151-1CABD24608C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4CC-4F5A-8151-1CABD24608C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DATA_Excel.xlsx]Sheet4!PivotTable6</c:name>
    <c:fmtId val="7"/>
  </c:pivotSource>
  <c:chart>
    <c:autoTitleDeleted val="1"/>
    <c:pivotFmts>
      <c:pivotFmt>
        <c:idx val="0"/>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manualLayout>
          <c:layoutTarget val="inner"/>
          <c:xMode val="edge"/>
          <c:yMode val="edge"/>
          <c:x val="7.5391240157480319E-2"/>
          <c:y val="4.6473065486770077E-2"/>
          <c:w val="0.74632425379099099"/>
          <c:h val="0.94451879205577194"/>
        </c:manualLayout>
      </c:layout>
      <c:pieChart>
        <c:varyColors val="1"/>
        <c:ser>
          <c:idx val="0"/>
          <c:order val="0"/>
          <c:tx>
            <c:strRef>
              <c:f>Sheet4!$B$3</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2357-4C16-8C63-AE1DDD6A848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357-4C16-8C63-AE1DDD6A848F}"/>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2357-4C16-8C63-AE1DDD6A848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HR</c:v>
                </c:pt>
                <c:pt idx="1">
                  <c:v>R&amp;D</c:v>
                </c:pt>
                <c:pt idx="2">
                  <c:v>Sales</c:v>
                </c:pt>
              </c:strCache>
            </c:strRef>
          </c:cat>
          <c:val>
            <c:numRef>
              <c:f>Sheet4!$B$4:$B$7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2357-4C16-8C63-AE1DDD6A848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95587080539477"/>
          <c:y val="0.33858790884796991"/>
          <c:w val="0.18044135930377123"/>
          <c:h val="0.32836676306532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DATA_Excel.xlsx]Sheet5!PivotTable7</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159462980796465E-2"/>
          <c:y val="5.6395335574436489E-2"/>
          <c:w val="0.96293298589474874"/>
          <c:h val="0.81533710905987722"/>
        </c:manualLayout>
      </c:layout>
      <c:barChart>
        <c:barDir val="col"/>
        <c:grouping val="clustered"/>
        <c:varyColors val="0"/>
        <c:ser>
          <c:idx val="0"/>
          <c:order val="0"/>
          <c:tx>
            <c:strRef>
              <c:f>Sheet5!$B$3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25 - 34</c:v>
                </c:pt>
                <c:pt idx="1">
                  <c:v>35 - 44</c:v>
                </c:pt>
                <c:pt idx="2">
                  <c:v>Under 25</c:v>
                </c:pt>
                <c:pt idx="3">
                  <c:v>45 - 54</c:v>
                </c:pt>
                <c:pt idx="4">
                  <c:v>Over 55</c:v>
                </c:pt>
              </c:strCache>
            </c:strRef>
          </c:cat>
          <c:val>
            <c:numRef>
              <c:f>Sheet5!$B$4:$B$9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EFB-4C74-8562-B05A55AD97F4}"/>
            </c:ext>
          </c:extLst>
        </c:ser>
        <c:dLbls>
          <c:showLegendKey val="0"/>
          <c:showVal val="0"/>
          <c:showCatName val="0"/>
          <c:showSerName val="0"/>
          <c:showPercent val="0"/>
          <c:showBubbleSize val="0"/>
        </c:dLbls>
        <c:gapWidth val="120"/>
        <c:overlap val="-27"/>
        <c:axId val="1218908223"/>
        <c:axId val="1218908703"/>
      </c:barChart>
      <c:catAx>
        <c:axId val="1218908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218908703"/>
        <c:crosses val="autoZero"/>
        <c:auto val="1"/>
        <c:lblAlgn val="ctr"/>
        <c:lblOffset val="100"/>
        <c:noMultiLvlLbl val="0"/>
      </c:catAx>
      <c:valAx>
        <c:axId val="1218908703"/>
        <c:scaling>
          <c:orientation val="minMax"/>
        </c:scaling>
        <c:delete val="1"/>
        <c:axPos val="l"/>
        <c:numFmt formatCode="General" sourceLinked="1"/>
        <c:majorTickMark val="out"/>
        <c:minorTickMark val="none"/>
        <c:tickLblPos val="nextTo"/>
        <c:crossAx val="121890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dLbl>
          <c:idx val="0"/>
          <c:layout>
            <c:manualLayout>
              <c:x val="-1.4666501857409695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69774037724109"/>
          <c:y val="5.6470574285484194E-2"/>
          <c:w val="0.61830224198495809"/>
          <c:h val="0.91215688444480247"/>
        </c:manualLayout>
      </c:layout>
      <c:barChart>
        <c:barDir val="bar"/>
        <c:grouping val="clustered"/>
        <c:varyColors val="0"/>
        <c:ser>
          <c:idx val="0"/>
          <c:order val="0"/>
          <c:tx>
            <c:strRef>
              <c:f>Education!$B$3</c:f>
              <c:strCache>
                <c:ptCount val="1"/>
                <c:pt idx="0">
                  <c:v>Total</c:v>
                </c:pt>
              </c:strCache>
            </c:strRef>
          </c:tx>
          <c:spPr>
            <a:solidFill>
              <a:srgbClr val="002060"/>
            </a:solidFill>
            <a:ln>
              <a:noFill/>
            </a:ln>
            <a:effectLst/>
          </c:spPr>
          <c:invertIfNegative val="0"/>
          <c:dLbls>
            <c:dLbl>
              <c:idx val="4"/>
              <c:layout>
                <c:manualLayout>
                  <c:x val="-1.4666501857409695E-1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157-4E56-BC19-1E8BDA27E7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157-4E56-BC19-1E8BDA27E765}"/>
            </c:ext>
          </c:extLst>
        </c:ser>
        <c:dLbls>
          <c:dLblPos val="outEnd"/>
          <c:showLegendKey val="0"/>
          <c:showVal val="1"/>
          <c:showCatName val="0"/>
          <c:showSerName val="0"/>
          <c:showPercent val="0"/>
          <c:showBubbleSize val="0"/>
        </c:dLbls>
        <c:gapWidth val="120"/>
        <c:axId val="618118735"/>
        <c:axId val="618120175"/>
      </c:barChart>
      <c:catAx>
        <c:axId val="61811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618120175"/>
        <c:crosses val="autoZero"/>
        <c:auto val="1"/>
        <c:lblAlgn val="ctr"/>
        <c:lblOffset val="100"/>
        <c:noMultiLvlLbl val="0"/>
      </c:catAx>
      <c:valAx>
        <c:axId val="618120175"/>
        <c:scaling>
          <c:orientation val="minMax"/>
          <c:max val="100"/>
        </c:scaling>
        <c:delete val="1"/>
        <c:axPos val="b"/>
        <c:numFmt formatCode="General" sourceLinked="1"/>
        <c:majorTickMark val="none"/>
        <c:minorTickMark val="none"/>
        <c:tickLblPos val="nextTo"/>
        <c:crossAx val="6181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C8CF3CAF-FFDC-4CA4-BF21-CC8F6ECE6FAA}">
          <cx:dataPt idx="2">
            <cx:spPr>
              <a:solidFill>
                <a:srgbClr val="002060"/>
              </a:solidFill>
            </cx:spPr>
          </cx:dataPt>
          <cx:dataLabels pos="inEnd">
            <cx:visibility seriesName="0" categoryName="1" value="0"/>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20E47CF0-FA1B-4B73-9E24-1EF89442FB00}">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plotArea>
      <cx:plotAreaRegion>
        <cx:series layoutId="treemap" uniqueId="{C8CF3CAF-FFDC-4CA4-BF21-CC8F6ECE6FAA}">
          <cx:dataPt idx="2">
            <cx:spPr>
              <a:solidFill>
                <a:srgbClr val="002060"/>
              </a:solidFill>
            </cx:spPr>
          </cx:dataPt>
          <cx:dataLabels pos="inEnd">
            <cx:visibility seriesName="0" categoryName="1" value="0"/>
          </cx:dataLabels>
          <cx:dataId val="0"/>
          <cx:layoutPr>
            <cx:parentLabelLayout val="banner"/>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20E47CF0-FA1B-4B73-9E24-1EF89442FB00}">
          <cx:spPr>
            <a:gradFill>
              <a:gsLst>
                <a:gs pos="56000">
                  <a:schemeClr val="accent5">
                    <a:lumMod val="75000"/>
                  </a:schemeClr>
                </a:gs>
                <a:gs pos="100000">
                  <a:srgbClr val="0070C0"/>
                </a:gs>
              </a:gsLst>
              <a:lin ang="10800000" scaled="0"/>
            </a:gradFill>
            <a:ln>
              <a:noFill/>
            </a:ln>
          </cx:spPr>
          <cx:dataLabels>
            <cx:txPr>
              <a:bodyPr spcFirstLastPara="1" vertOverflow="ellipsis" horzOverflow="overflow" wrap="square" lIns="0" tIns="0" rIns="0" bIns="0" anchor="ctr" anchorCtr="1"/>
              <a:lstStyle/>
              <a:p>
                <a:pPr algn="ctr" rtl="0">
                  <a:defRPr sz="1000">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0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bg1"/>
                      </a:solidFill>
                    </a:defRPr>
                  </a:pPr>
                  <a:r>
                    <a:rPr lang="en-US" sz="90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33</a:t>
                  </a:r>
                </a:p>
              </cx:txPr>
            </cx:dataLabel>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9.png"/><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image" Target="../media/image8.sv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chart" Target="../charts/chart8.xml"/><Relationship Id="rId19" Type="http://schemas.microsoft.com/office/2014/relationships/chartEx" Target="../charts/chartEx4.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10.sv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6.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285750</xdr:colOff>
      <xdr:row>2</xdr:row>
      <xdr:rowOff>50800</xdr:rowOff>
    </xdr:from>
    <xdr:to>
      <xdr:col>5</xdr:col>
      <xdr:colOff>228600</xdr:colOff>
      <xdr:row>16</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B411B5-85A1-86FE-072C-9F85BC06FF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25650" y="444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803275</xdr:colOff>
      <xdr:row>2</xdr:row>
      <xdr:rowOff>50800</xdr:rowOff>
    </xdr:from>
    <xdr:to>
      <xdr:col>6</xdr:col>
      <xdr:colOff>142875</xdr:colOff>
      <xdr:row>16</xdr:row>
      <xdr:rowOff>38100</xdr:rowOff>
    </xdr:to>
    <xdr:graphicFrame macro="">
      <xdr:nvGraphicFramePr>
        <xdr:cNvPr id="2" name="Chart 1">
          <a:extLst>
            <a:ext uri="{FF2B5EF4-FFF2-40B4-BE49-F238E27FC236}">
              <a16:creationId xmlns:a16="http://schemas.microsoft.com/office/drawing/2014/main" id="{98DD5F84-A38B-8A19-0D46-FF10D3412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47625</xdr:colOff>
      <xdr:row>1</xdr:row>
      <xdr:rowOff>114300</xdr:rowOff>
    </xdr:from>
    <xdr:to>
      <xdr:col>9</xdr:col>
      <xdr:colOff>657225</xdr:colOff>
      <xdr:row>15</xdr:row>
      <xdr:rowOff>101600</xdr:rowOff>
    </xdr:to>
    <xdr:graphicFrame macro="">
      <xdr:nvGraphicFramePr>
        <xdr:cNvPr id="2" name="Chart 1">
          <a:extLst>
            <a:ext uri="{FF2B5EF4-FFF2-40B4-BE49-F238E27FC236}">
              <a16:creationId xmlns:a16="http://schemas.microsoft.com/office/drawing/2014/main" id="{7D78A404-7380-8991-7B74-BEFDD25DC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196850</xdr:colOff>
      <xdr:row>6</xdr:row>
      <xdr:rowOff>6350</xdr:rowOff>
    </xdr:from>
    <xdr:to>
      <xdr:col>10</xdr:col>
      <xdr:colOff>6350</xdr:colOff>
      <xdr:row>19</xdr:row>
      <xdr:rowOff>190500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CD976DA-95F1-E368-E564-566C4B61B9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54400" y="11874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431800</xdr:colOff>
      <xdr:row>0</xdr:row>
      <xdr:rowOff>0</xdr:rowOff>
    </xdr:from>
    <xdr:to>
      <xdr:col>8</xdr:col>
      <xdr:colOff>279400</xdr:colOff>
      <xdr:row>13</xdr:row>
      <xdr:rowOff>155569</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CD218326-24C8-CE78-BFDA-65E0B35660B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4895850" y="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669925</xdr:colOff>
      <xdr:row>1</xdr:row>
      <xdr:rowOff>165100</xdr:rowOff>
    </xdr:from>
    <xdr:to>
      <xdr:col>7</xdr:col>
      <xdr:colOff>371475</xdr:colOff>
      <xdr:row>15</xdr:row>
      <xdr:rowOff>152400</xdr:rowOff>
    </xdr:to>
    <xdr:graphicFrame macro="">
      <xdr:nvGraphicFramePr>
        <xdr:cNvPr id="2" name="Chart 1">
          <a:extLst>
            <a:ext uri="{FF2B5EF4-FFF2-40B4-BE49-F238E27FC236}">
              <a16:creationId xmlns:a16="http://schemas.microsoft.com/office/drawing/2014/main" id="{A7B9C922-CCB4-643A-155C-C1B84B714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1562100</xdr:colOff>
      <xdr:row>0</xdr:row>
      <xdr:rowOff>114300</xdr:rowOff>
    </xdr:from>
    <xdr:to>
      <xdr:col>4</xdr:col>
      <xdr:colOff>501650</xdr:colOff>
      <xdr:row>14</xdr:row>
      <xdr:rowOff>73019</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0343C07F-74A1-53C8-C148-6FE2785A786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749550" y="1143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393700</xdr:colOff>
      <xdr:row>3</xdr:row>
      <xdr:rowOff>63500</xdr:rowOff>
    </xdr:from>
    <xdr:to>
      <xdr:col>7</xdr:col>
      <xdr:colOff>241300</xdr:colOff>
      <xdr:row>17</xdr:row>
      <xdr:rowOff>22219</xdr:rowOff>
    </xdr:to>
    <mc:AlternateContent xmlns:mc="http://schemas.openxmlformats.org/markup-compatibility/2006">
      <mc:Choice xmlns:a14="http://schemas.microsoft.com/office/drawing/2010/main" Requires="a14">
        <xdr:graphicFrame macro="">
          <xdr:nvGraphicFramePr>
            <xdr:cNvPr id="4" name="Education Field">
              <a:extLst>
                <a:ext uri="{FF2B5EF4-FFF2-40B4-BE49-F238E27FC236}">
                  <a16:creationId xmlns:a16="http://schemas.microsoft.com/office/drawing/2014/main" id="{68FE8E08-9433-0567-270F-C9788A713B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4470400" y="6540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368300</xdr:colOff>
      <xdr:row>1</xdr:row>
      <xdr:rowOff>127000</xdr:rowOff>
    </xdr:from>
    <xdr:to>
      <xdr:col>9</xdr:col>
      <xdr:colOff>215900</xdr:colOff>
      <xdr:row>15</xdr:row>
      <xdr:rowOff>85719</xdr:rowOff>
    </xdr:to>
    <mc:AlternateContent xmlns:mc="http://schemas.openxmlformats.org/markup-compatibility/2006">
      <mc:Choice xmlns:a14="http://schemas.microsoft.com/office/drawing/2010/main" Requires="a14">
        <xdr:graphicFrame macro="">
          <xdr:nvGraphicFramePr>
            <xdr:cNvPr id="5" name="Job Role">
              <a:extLst>
                <a:ext uri="{FF2B5EF4-FFF2-40B4-BE49-F238E27FC236}">
                  <a16:creationId xmlns:a16="http://schemas.microsoft.com/office/drawing/2014/main" id="{CD17C8D8-C538-90CA-95E4-6F244B1391A3}"/>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5765800" y="3238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645886</xdr:colOff>
      <xdr:row>7</xdr:row>
      <xdr:rowOff>3629</xdr:rowOff>
    </xdr:from>
    <xdr:to>
      <xdr:col>7</xdr:col>
      <xdr:colOff>25401</xdr:colOff>
      <xdr:row>20</xdr:row>
      <xdr:rowOff>123819</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E8DA02A2-2FA5-4374-6A54-3CA7DB687EB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03672" y="1400629"/>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458107</xdr:colOff>
      <xdr:row>11</xdr:row>
      <xdr:rowOff>7256</xdr:rowOff>
    </xdr:from>
    <xdr:to>
      <xdr:col>5</xdr:col>
      <xdr:colOff>1632858</xdr:colOff>
      <xdr:row>26</xdr:row>
      <xdr:rowOff>81642</xdr:rowOff>
    </xdr:to>
    <xdr:graphicFrame macro="">
      <xdr:nvGraphicFramePr>
        <xdr:cNvPr id="4" name="Chart 3">
          <a:extLst>
            <a:ext uri="{FF2B5EF4-FFF2-40B4-BE49-F238E27FC236}">
              <a16:creationId xmlns:a16="http://schemas.microsoft.com/office/drawing/2014/main" id="{AFFE9BA6-DFDB-71FD-8DA8-7432B265A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604383</xdr:colOff>
      <xdr:row>1</xdr:row>
      <xdr:rowOff>58605</xdr:rowOff>
    </xdr:from>
    <xdr:ext cx="8905876" cy="6797902"/>
    <xdr:grpSp>
      <xdr:nvGrpSpPr>
        <xdr:cNvPr id="2" name="Shape 2">
          <a:extLst>
            <a:ext uri="{FF2B5EF4-FFF2-40B4-BE49-F238E27FC236}">
              <a16:creationId xmlns:a16="http://schemas.microsoft.com/office/drawing/2014/main" id="{74A25885-C692-492C-87F2-C7DD131FC36D}"/>
            </a:ext>
          </a:extLst>
        </xdr:cNvPr>
        <xdr:cNvGrpSpPr/>
      </xdr:nvGrpSpPr>
      <xdr:grpSpPr>
        <a:xfrm>
          <a:off x="1916716" y="259688"/>
          <a:ext cx="8905876" cy="6797902"/>
          <a:chOff x="0" y="60488"/>
          <a:chExt cx="10692000" cy="7439025"/>
        </a:xfrm>
      </xdr:grpSpPr>
      <xdr:grpSp>
        <xdr:nvGrpSpPr>
          <xdr:cNvPr id="3" name="Shape 29">
            <a:extLst>
              <a:ext uri="{FF2B5EF4-FFF2-40B4-BE49-F238E27FC236}">
                <a16:creationId xmlns:a16="http://schemas.microsoft.com/office/drawing/2014/main" id="{AC84B92C-8F8E-D06B-CEB4-769C999419E2}"/>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C293380C-B8F9-34C2-548E-AFCD68AF5983}"/>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200">
                <a:latin typeface="Melon Pop" pitchFamily="2" charset="0"/>
              </a:endParaRPr>
            </a:p>
          </xdr:txBody>
        </xdr:sp>
        <xdr:sp macro="" textlink="">
          <xdr:nvSpPr>
            <xdr:cNvPr id="5" name="Shape 30">
              <a:extLst>
                <a:ext uri="{FF2B5EF4-FFF2-40B4-BE49-F238E27FC236}">
                  <a16:creationId xmlns:a16="http://schemas.microsoft.com/office/drawing/2014/main" id="{BCF85271-F381-CA5D-E988-68B017027BCF}"/>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chemeClr val="lt1"/>
                  </a:solidFill>
                  <a:latin typeface="Melon Pop" pitchFamily="2" charset="0"/>
                  <a:ea typeface="Calibri"/>
                  <a:cs typeface="Calibri"/>
                  <a:sym typeface="Calibri"/>
                </a:rPr>
                <a:t>`</a:t>
              </a:r>
              <a:endParaRPr sz="1200">
                <a:latin typeface="Melon Pop" pitchFamily="2" charset="0"/>
              </a:endParaRPr>
            </a:p>
          </xdr:txBody>
        </xdr:sp>
        <xdr:sp macro="" textlink="">
          <xdr:nvSpPr>
            <xdr:cNvPr id="6" name="Shape 31">
              <a:extLst>
                <a:ext uri="{FF2B5EF4-FFF2-40B4-BE49-F238E27FC236}">
                  <a16:creationId xmlns:a16="http://schemas.microsoft.com/office/drawing/2014/main" id="{18735565-3160-F5B8-3DCE-FEA61A05E38A}"/>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200">
                <a:solidFill>
                  <a:srgbClr val="7030A0"/>
                </a:solidFill>
                <a:latin typeface="Melon Pop" pitchFamily="2" charset="0"/>
                <a:ea typeface="Lato"/>
                <a:cs typeface="Lato"/>
                <a:sym typeface="Lato"/>
              </a:endParaRPr>
            </a:p>
          </xdr:txBody>
        </xdr:sp>
        <xdr:sp macro="" textlink="">
          <xdr:nvSpPr>
            <xdr:cNvPr id="7" name="Shape 32">
              <a:extLst>
                <a:ext uri="{FF2B5EF4-FFF2-40B4-BE49-F238E27FC236}">
                  <a16:creationId xmlns:a16="http://schemas.microsoft.com/office/drawing/2014/main" id="{6669F65E-CFC5-AFCA-AD1C-A5653A27E717}"/>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8" name="Shape 33">
              <a:extLst>
                <a:ext uri="{FF2B5EF4-FFF2-40B4-BE49-F238E27FC236}">
                  <a16:creationId xmlns:a16="http://schemas.microsoft.com/office/drawing/2014/main" id="{055DA38A-9861-3E13-0C8D-41A1BF932E34}"/>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grpSp>
          <xdr:nvGrpSpPr>
            <xdr:cNvPr id="9" name="Shape 34">
              <a:extLst>
                <a:ext uri="{FF2B5EF4-FFF2-40B4-BE49-F238E27FC236}">
                  <a16:creationId xmlns:a16="http://schemas.microsoft.com/office/drawing/2014/main" id="{6E4DF67B-113C-3EAB-10E6-43D7C8EA5E0F}"/>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55D4C1EE-B996-EE73-1452-44571FEB58AB}"/>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5" name="Shape 36">
                <a:extLst>
                  <a:ext uri="{FF2B5EF4-FFF2-40B4-BE49-F238E27FC236}">
                    <a16:creationId xmlns:a16="http://schemas.microsoft.com/office/drawing/2014/main" id="{CB33EB07-8182-5023-EB76-3A1EB1FE61C2}"/>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6" name="Shape 37">
                <a:extLst>
                  <a:ext uri="{FF2B5EF4-FFF2-40B4-BE49-F238E27FC236}">
                    <a16:creationId xmlns:a16="http://schemas.microsoft.com/office/drawing/2014/main" id="{DC6A1874-B62E-4D87-1963-F2A76FC34CFC}"/>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7" name="Shape 38">
                <a:extLst>
                  <a:ext uri="{FF2B5EF4-FFF2-40B4-BE49-F238E27FC236}">
                    <a16:creationId xmlns:a16="http://schemas.microsoft.com/office/drawing/2014/main" id="{FA4CB4BF-4979-06D0-94C6-9E4E47B3A591}"/>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sp macro="" textlink="">
            <xdr:nvSpPr>
              <xdr:cNvPr id="28" name="Shape 39">
                <a:extLst>
                  <a:ext uri="{FF2B5EF4-FFF2-40B4-BE49-F238E27FC236}">
                    <a16:creationId xmlns:a16="http://schemas.microsoft.com/office/drawing/2014/main" id="{A802DBDD-BBF5-481C-1563-C96C5742A77B}"/>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grpSp>
        <xdr:grpSp>
          <xdr:nvGrpSpPr>
            <xdr:cNvPr id="10" name="Shape 40">
              <a:extLst>
                <a:ext uri="{FF2B5EF4-FFF2-40B4-BE49-F238E27FC236}">
                  <a16:creationId xmlns:a16="http://schemas.microsoft.com/office/drawing/2014/main" id="{F93C1035-D4B2-2D5A-CE61-8166AF815044}"/>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16BB74B8-EAA2-E9FA-650C-CB39A03BF89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23" name="Shape 42">
                <a:extLst>
                  <a:ext uri="{FF2B5EF4-FFF2-40B4-BE49-F238E27FC236}">
                    <a16:creationId xmlns:a16="http://schemas.microsoft.com/office/drawing/2014/main" id="{AD3D9F9E-F7CC-331E-8777-C633E1A10843}"/>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8826B6C1-A6FE-6654-36FA-2B78759EC8E4}"/>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60D5D27D-7313-EE6A-FB0A-CAF65B7D8ECC}"/>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3" name="Shape 45">
              <a:extLst>
                <a:ext uri="{FF2B5EF4-FFF2-40B4-BE49-F238E27FC236}">
                  <a16:creationId xmlns:a16="http://schemas.microsoft.com/office/drawing/2014/main" id="{124AAF4B-43D7-1DA0-B9CE-67E20E473214}"/>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F381FF0E-F83C-015E-4A35-BAE413C031F8}"/>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5" name="Shape 47">
              <a:extLst>
                <a:ext uri="{FF2B5EF4-FFF2-40B4-BE49-F238E27FC236}">
                  <a16:creationId xmlns:a16="http://schemas.microsoft.com/office/drawing/2014/main" id="{BA9418E7-4133-69AD-FEE5-699C2228AE4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9D7E6E03-15F2-3929-A492-F74814896EB2}"/>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7" name="Shape 49">
              <a:extLst>
                <a:ext uri="{FF2B5EF4-FFF2-40B4-BE49-F238E27FC236}">
                  <a16:creationId xmlns:a16="http://schemas.microsoft.com/office/drawing/2014/main" id="{F198F8C3-748C-D740-4039-DD0DD4F030A5}"/>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65ED6255-74D6-BD67-093E-E20BBB1D49D1}"/>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19" name="Shape 51">
              <a:extLst>
                <a:ext uri="{FF2B5EF4-FFF2-40B4-BE49-F238E27FC236}">
                  <a16:creationId xmlns:a16="http://schemas.microsoft.com/office/drawing/2014/main" id="{6B78B1C8-B6F4-5962-1768-4B0C8034218F}"/>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7187FEB7-405A-5DC0-1502-206FD4BD78ED}"/>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latin typeface="Melon Pop" pitchFamily="2" charset="0"/>
              </a:endParaRPr>
            </a:p>
          </xdr:txBody>
        </xdr:sp>
        <xdr:cxnSp macro="">
          <xdr:nvCxnSpPr>
            <xdr:cNvPr id="21" name="Shape 53">
              <a:extLst>
                <a:ext uri="{FF2B5EF4-FFF2-40B4-BE49-F238E27FC236}">
                  <a16:creationId xmlns:a16="http://schemas.microsoft.com/office/drawing/2014/main" id="{55DE137C-34FF-F7FE-F2AE-0A236A34CEB5}"/>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615725</xdr:colOff>
      <xdr:row>6</xdr:row>
      <xdr:rowOff>20410</xdr:rowOff>
    </xdr:from>
    <xdr:to>
      <xdr:col>5</xdr:col>
      <xdr:colOff>154879</xdr:colOff>
      <xdr:row>8</xdr:row>
      <xdr:rowOff>20410</xdr:rowOff>
    </xdr:to>
    <xdr:sp macro="" textlink="">
      <xdr:nvSpPr>
        <xdr:cNvPr id="29" name="TextBox 28">
          <a:extLst>
            <a:ext uri="{FF2B5EF4-FFF2-40B4-BE49-F238E27FC236}">
              <a16:creationId xmlns:a16="http://schemas.microsoft.com/office/drawing/2014/main" id="{8A837D6C-E0E1-4A4B-75ED-B0371BBDE825}"/>
            </a:ext>
          </a:extLst>
        </xdr:cNvPr>
        <xdr:cNvSpPr txBox="1"/>
      </xdr:nvSpPr>
      <xdr:spPr>
        <a:xfrm>
          <a:off x="1932188" y="1181995"/>
          <a:ext cx="1513850"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Employee</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Count</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3</xdr:col>
      <xdr:colOff>304732</xdr:colOff>
      <xdr:row>7</xdr:row>
      <xdr:rowOff>171648</xdr:rowOff>
    </xdr:from>
    <xdr:to>
      <xdr:col>5</xdr:col>
      <xdr:colOff>152333</xdr:colOff>
      <xdr:row>9</xdr:row>
      <xdr:rowOff>171648</xdr:rowOff>
    </xdr:to>
    <xdr:sp macro="" textlink="KPI!B7">
      <xdr:nvSpPr>
        <xdr:cNvPr id="30" name="TextBox 29">
          <a:extLst>
            <a:ext uri="{FF2B5EF4-FFF2-40B4-BE49-F238E27FC236}">
              <a16:creationId xmlns:a16="http://schemas.microsoft.com/office/drawing/2014/main" id="{436EEE39-B0A1-43FA-20FB-B7BE6821B66D}"/>
            </a:ext>
          </a:extLst>
        </xdr:cNvPr>
        <xdr:cNvSpPr txBox="1"/>
      </xdr:nvSpPr>
      <xdr:spPr>
        <a:xfrm>
          <a:off x="2281170" y="1560711"/>
          <a:ext cx="116522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0508EA-0ECD-4C6B-A6C1-7940C21FC637}"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 1,470 </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5</xdr:col>
      <xdr:colOff>116157</xdr:colOff>
      <xdr:row>6</xdr:row>
      <xdr:rowOff>36286</xdr:rowOff>
    </xdr:from>
    <xdr:ext cx="246699" cy="265727"/>
    <xdr:pic>
      <xdr:nvPicPr>
        <xdr:cNvPr id="31" name="image4.png">
          <a:extLst>
            <a:ext uri="{FF2B5EF4-FFF2-40B4-BE49-F238E27FC236}">
              <a16:creationId xmlns:a16="http://schemas.microsoft.com/office/drawing/2014/main" id="{3D9ED842-529A-4A66-9789-A37C428419A4}"/>
            </a:ext>
          </a:extLst>
        </xdr:cNvPr>
        <xdr:cNvPicPr preferRelativeResize="0"/>
      </xdr:nvPicPr>
      <xdr:blipFill>
        <a:blip xmlns:r="http://schemas.openxmlformats.org/officeDocument/2006/relationships" r:embed="rId1" cstate="print"/>
        <a:stretch>
          <a:fillRect/>
        </a:stretch>
      </xdr:blipFill>
      <xdr:spPr>
        <a:xfrm>
          <a:off x="3407316" y="1197871"/>
          <a:ext cx="246699" cy="265727"/>
        </a:xfrm>
        <a:prstGeom prst="rect">
          <a:avLst/>
        </a:prstGeom>
        <a:noFill/>
      </xdr:spPr>
    </xdr:pic>
    <xdr:clientData fLocksWithSheet="0"/>
  </xdr:oneCellAnchor>
  <xdr:twoCellAnchor>
    <xdr:from>
      <xdr:col>5</xdr:col>
      <xdr:colOff>464232</xdr:colOff>
      <xdr:row>5</xdr:row>
      <xdr:rowOff>186416</xdr:rowOff>
    </xdr:from>
    <xdr:to>
      <xdr:col>8</xdr:col>
      <xdr:colOff>39006</xdr:colOff>
      <xdr:row>7</xdr:row>
      <xdr:rowOff>186417</xdr:rowOff>
    </xdr:to>
    <xdr:sp macro="" textlink="">
      <xdr:nvSpPr>
        <xdr:cNvPr id="32" name="TextBox 31">
          <a:extLst>
            <a:ext uri="{FF2B5EF4-FFF2-40B4-BE49-F238E27FC236}">
              <a16:creationId xmlns:a16="http://schemas.microsoft.com/office/drawing/2014/main" id="{D14AE075-B3F0-8CEE-299B-4B0900F9C52B}"/>
            </a:ext>
          </a:extLst>
        </xdr:cNvPr>
        <xdr:cNvSpPr txBox="1"/>
      </xdr:nvSpPr>
      <xdr:spPr>
        <a:xfrm>
          <a:off x="3775303" y="1161595"/>
          <a:ext cx="156141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a:t>
          </a:r>
        </a:p>
      </xdr:txBody>
    </xdr:sp>
    <xdr:clientData/>
  </xdr:twoCellAnchor>
  <xdr:twoCellAnchor>
    <xdr:from>
      <xdr:col>6</xdr:col>
      <xdr:colOff>215412</xdr:colOff>
      <xdr:row>8</xdr:row>
      <xdr:rowOff>2676</xdr:rowOff>
    </xdr:from>
    <xdr:to>
      <xdr:col>8</xdr:col>
      <xdr:colOff>63013</xdr:colOff>
      <xdr:row>10</xdr:row>
      <xdr:rowOff>2675</xdr:rowOff>
    </xdr:to>
    <xdr:sp macro="" textlink="KPI!B8">
      <xdr:nvSpPr>
        <xdr:cNvPr id="33" name="TextBox 32">
          <a:extLst>
            <a:ext uri="{FF2B5EF4-FFF2-40B4-BE49-F238E27FC236}">
              <a16:creationId xmlns:a16="http://schemas.microsoft.com/office/drawing/2014/main" id="{99F761CC-4282-68BF-B0BC-B5AE1A498472}"/>
            </a:ext>
          </a:extLst>
        </xdr:cNvPr>
        <xdr:cNvSpPr txBox="1"/>
      </xdr:nvSpPr>
      <xdr:spPr>
        <a:xfrm>
          <a:off x="4164802" y="1551456"/>
          <a:ext cx="1164065"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F603AF0-E72C-4467-BDC1-17D16138E660}"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 237 </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7</xdr:col>
      <xdr:colOff>421822</xdr:colOff>
      <xdr:row>6</xdr:row>
      <xdr:rowOff>49895</xdr:rowOff>
    </xdr:from>
    <xdr:ext cx="385538" cy="340177"/>
    <xdr:pic>
      <xdr:nvPicPr>
        <xdr:cNvPr id="34" name="image7.png">
          <a:extLst>
            <a:ext uri="{FF2B5EF4-FFF2-40B4-BE49-F238E27FC236}">
              <a16:creationId xmlns:a16="http://schemas.microsoft.com/office/drawing/2014/main" id="{4EE92665-7F76-4483-9FBC-32E1BCD86465}"/>
            </a:ext>
          </a:extLst>
        </xdr:cNvPr>
        <xdr:cNvPicPr preferRelativeResize="0"/>
      </xdr:nvPicPr>
      <xdr:blipFill>
        <a:blip xmlns:r="http://schemas.openxmlformats.org/officeDocument/2006/relationships" r:embed="rId2" cstate="print"/>
        <a:stretch>
          <a:fillRect/>
        </a:stretch>
      </xdr:blipFill>
      <xdr:spPr>
        <a:xfrm>
          <a:off x="5057322" y="1220109"/>
          <a:ext cx="385538" cy="340177"/>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fLocksWithSheet="0"/>
  </xdr:oneCellAnchor>
  <xdr:twoCellAnchor>
    <xdr:from>
      <xdr:col>8</xdr:col>
      <xdr:colOff>141487</xdr:colOff>
      <xdr:row>6</xdr:row>
      <xdr:rowOff>76</xdr:rowOff>
    </xdr:from>
    <xdr:to>
      <xdr:col>10</xdr:col>
      <xdr:colOff>378475</xdr:colOff>
      <xdr:row>8</xdr:row>
      <xdr:rowOff>77</xdr:rowOff>
    </xdr:to>
    <xdr:sp macro="" textlink="">
      <xdr:nvSpPr>
        <xdr:cNvPr id="35" name="TextBox 34">
          <a:extLst>
            <a:ext uri="{FF2B5EF4-FFF2-40B4-BE49-F238E27FC236}">
              <a16:creationId xmlns:a16="http://schemas.microsoft.com/office/drawing/2014/main" id="{4E53B05C-AFD2-E32B-8C71-622074529375}"/>
            </a:ext>
          </a:extLst>
        </xdr:cNvPr>
        <xdr:cNvSpPr txBox="1"/>
      </xdr:nvSpPr>
      <xdr:spPr>
        <a:xfrm>
          <a:off x="5407341" y="1161661"/>
          <a:ext cx="1553451" cy="38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Active</a:t>
          </a:r>
        </a:p>
      </xdr:txBody>
    </xdr:sp>
    <xdr:clientData/>
  </xdr:twoCellAnchor>
  <xdr:twoCellAnchor>
    <xdr:from>
      <xdr:col>8</xdr:col>
      <xdr:colOff>496139</xdr:colOff>
      <xdr:row>7</xdr:row>
      <xdr:rowOff>193132</xdr:rowOff>
    </xdr:from>
    <xdr:to>
      <xdr:col>10</xdr:col>
      <xdr:colOff>343739</xdr:colOff>
      <xdr:row>9</xdr:row>
      <xdr:rowOff>193132</xdr:rowOff>
    </xdr:to>
    <xdr:sp macro="" textlink="KPI!B9">
      <xdr:nvSpPr>
        <xdr:cNvPr id="36" name="TextBox 35">
          <a:extLst>
            <a:ext uri="{FF2B5EF4-FFF2-40B4-BE49-F238E27FC236}">
              <a16:creationId xmlns:a16="http://schemas.microsoft.com/office/drawing/2014/main" id="{696E32E7-F035-E5E1-2D0C-1EE4DA893229}"/>
            </a:ext>
          </a:extLst>
        </xdr:cNvPr>
        <xdr:cNvSpPr txBox="1"/>
      </xdr:nvSpPr>
      <xdr:spPr>
        <a:xfrm>
          <a:off x="5761993" y="1548315"/>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3C965E-8654-4361-9FC1-572F604F1EDC}"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 1,233 </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10</xdr:col>
      <xdr:colOff>153988</xdr:colOff>
      <xdr:row>6</xdr:row>
      <xdr:rowOff>43995</xdr:rowOff>
    </xdr:from>
    <xdr:ext cx="419100" cy="304800"/>
    <xdr:pic>
      <xdr:nvPicPr>
        <xdr:cNvPr id="37" name="image5.png">
          <a:extLst>
            <a:ext uri="{FF2B5EF4-FFF2-40B4-BE49-F238E27FC236}">
              <a16:creationId xmlns:a16="http://schemas.microsoft.com/office/drawing/2014/main" id="{76A7A37B-262B-4952-AC83-D0B33C8A887D}"/>
            </a:ext>
          </a:extLst>
        </xdr:cNvPr>
        <xdr:cNvPicPr preferRelativeResize="0"/>
      </xdr:nvPicPr>
      <xdr:blipFill>
        <a:blip xmlns:r="http://schemas.openxmlformats.org/officeDocument/2006/relationships" r:embed="rId3" cstate="print"/>
        <a:stretch>
          <a:fillRect/>
        </a:stretch>
      </xdr:blipFill>
      <xdr:spPr>
        <a:xfrm>
          <a:off x="6776131" y="1214209"/>
          <a:ext cx="419100" cy="304800"/>
        </a:xfrm>
        <a:prstGeom prst="rect">
          <a:avLst/>
        </a:prstGeom>
        <a:noFill/>
      </xdr:spPr>
    </xdr:pic>
    <xdr:clientData fLocksWithSheet="0"/>
  </xdr:oneCellAnchor>
  <xdr:twoCellAnchor>
    <xdr:from>
      <xdr:col>10</xdr:col>
      <xdr:colOff>605746</xdr:colOff>
      <xdr:row>6</xdr:row>
      <xdr:rowOff>10431</xdr:rowOff>
    </xdr:from>
    <xdr:to>
      <xdr:col>13</xdr:col>
      <xdr:colOff>180520</xdr:colOff>
      <xdr:row>8</xdr:row>
      <xdr:rowOff>10431</xdr:rowOff>
    </xdr:to>
    <xdr:sp macro="" textlink="">
      <xdr:nvSpPr>
        <xdr:cNvPr id="38" name="TextBox 37">
          <a:extLst>
            <a:ext uri="{FF2B5EF4-FFF2-40B4-BE49-F238E27FC236}">
              <a16:creationId xmlns:a16="http://schemas.microsoft.com/office/drawing/2014/main" id="{BB5FE2EA-BCB8-E276-AD59-07DAFD1FFE38}"/>
            </a:ext>
          </a:extLst>
        </xdr:cNvPr>
        <xdr:cNvSpPr txBox="1"/>
      </xdr:nvSpPr>
      <xdr:spPr>
        <a:xfrm>
          <a:off x="7227889" y="1180645"/>
          <a:ext cx="156141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Rate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11</xdr:col>
      <xdr:colOff>359361</xdr:colOff>
      <xdr:row>8</xdr:row>
      <xdr:rowOff>2257</xdr:rowOff>
    </xdr:from>
    <xdr:to>
      <xdr:col>13</xdr:col>
      <xdr:colOff>206961</xdr:colOff>
      <xdr:row>10</xdr:row>
      <xdr:rowOff>2256</xdr:rowOff>
    </xdr:to>
    <xdr:sp macro="" textlink="KPI!B10">
      <xdr:nvSpPr>
        <xdr:cNvPr id="39" name="TextBox 38">
          <a:extLst>
            <a:ext uri="{FF2B5EF4-FFF2-40B4-BE49-F238E27FC236}">
              <a16:creationId xmlns:a16="http://schemas.microsoft.com/office/drawing/2014/main" id="{D351F8C7-E728-126D-0D9E-E124CE98101D}"/>
            </a:ext>
          </a:extLst>
        </xdr:cNvPr>
        <xdr:cNvSpPr txBox="1"/>
      </xdr:nvSpPr>
      <xdr:spPr>
        <a:xfrm>
          <a:off x="7599910" y="1551037"/>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B21109-4A5C-46A3-8DA1-1F857686B2C6}"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16.1%</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13</xdr:col>
      <xdr:colOff>27214</xdr:colOff>
      <xdr:row>6</xdr:row>
      <xdr:rowOff>95250</xdr:rowOff>
    </xdr:from>
    <xdr:ext cx="343128" cy="279398"/>
    <xdr:pic>
      <xdr:nvPicPr>
        <xdr:cNvPr id="40" name="image2.png">
          <a:extLst>
            <a:ext uri="{FF2B5EF4-FFF2-40B4-BE49-F238E27FC236}">
              <a16:creationId xmlns:a16="http://schemas.microsoft.com/office/drawing/2014/main" id="{7754DE5A-3E52-4331-BC1E-EF067873D38B}"/>
            </a:ext>
          </a:extLst>
        </xdr:cNvPr>
        <xdr:cNvPicPr preferRelativeResize="0"/>
      </xdr:nvPicPr>
      <xdr:blipFill>
        <a:blip xmlns:r="http://schemas.openxmlformats.org/officeDocument/2006/relationships" r:embed="rId4" cstate="print"/>
        <a:stretch>
          <a:fillRect/>
        </a:stretch>
      </xdr:blipFill>
      <xdr:spPr>
        <a:xfrm>
          <a:off x="8636000" y="1265464"/>
          <a:ext cx="343128" cy="279398"/>
        </a:xfrm>
        <a:prstGeom prst="rect">
          <a:avLst/>
        </a:prstGeom>
        <a:noFill/>
      </xdr:spPr>
    </xdr:pic>
    <xdr:clientData fLocksWithSheet="0"/>
  </xdr:oneCellAnchor>
  <xdr:twoCellAnchor>
    <xdr:from>
      <xdr:col>13</xdr:col>
      <xdr:colOff>359002</xdr:colOff>
      <xdr:row>6</xdr:row>
      <xdr:rowOff>31295</xdr:rowOff>
    </xdr:from>
    <xdr:to>
      <xdr:col>15</xdr:col>
      <xdr:colOff>595991</xdr:colOff>
      <xdr:row>8</xdr:row>
      <xdr:rowOff>31295</xdr:rowOff>
    </xdr:to>
    <xdr:sp macro="" textlink="">
      <xdr:nvSpPr>
        <xdr:cNvPr id="41" name="TextBox 40">
          <a:extLst>
            <a:ext uri="{FF2B5EF4-FFF2-40B4-BE49-F238E27FC236}">
              <a16:creationId xmlns:a16="http://schemas.microsoft.com/office/drawing/2014/main" id="{330BCAA6-7975-B6FD-F3B4-E3C0F54029E8}"/>
            </a:ext>
          </a:extLst>
        </xdr:cNvPr>
        <xdr:cNvSpPr txBox="1"/>
      </xdr:nvSpPr>
      <xdr:spPr>
        <a:xfrm>
          <a:off x="8967788" y="1201509"/>
          <a:ext cx="1561417" cy="390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Average</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Age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14</xdr:col>
      <xdr:colOff>206540</xdr:colOff>
      <xdr:row>8</xdr:row>
      <xdr:rowOff>3097</xdr:rowOff>
    </xdr:from>
    <xdr:to>
      <xdr:col>16</xdr:col>
      <xdr:colOff>54140</xdr:colOff>
      <xdr:row>10</xdr:row>
      <xdr:rowOff>3096</xdr:rowOff>
    </xdr:to>
    <xdr:sp macro="" textlink="KPI!B11">
      <xdr:nvSpPr>
        <xdr:cNvPr id="42" name="TextBox 41">
          <a:extLst>
            <a:ext uri="{FF2B5EF4-FFF2-40B4-BE49-F238E27FC236}">
              <a16:creationId xmlns:a16="http://schemas.microsoft.com/office/drawing/2014/main" id="{C2FCF121-416E-D4B9-72AF-23361A392600}"/>
            </a:ext>
          </a:extLst>
        </xdr:cNvPr>
        <xdr:cNvSpPr txBox="1"/>
      </xdr:nvSpPr>
      <xdr:spPr>
        <a:xfrm>
          <a:off x="9421784" y="1551877"/>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1B7D5C-F5A4-472B-B3EE-037A87AFE07D}"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36.9</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15</xdr:col>
      <xdr:colOff>422503</xdr:colOff>
      <xdr:row>6</xdr:row>
      <xdr:rowOff>108402</xdr:rowOff>
    </xdr:from>
    <xdr:ext cx="295275" cy="266700"/>
    <xdr:pic>
      <xdr:nvPicPr>
        <xdr:cNvPr id="43" name="image6.png">
          <a:extLst>
            <a:ext uri="{FF2B5EF4-FFF2-40B4-BE49-F238E27FC236}">
              <a16:creationId xmlns:a16="http://schemas.microsoft.com/office/drawing/2014/main" id="{A1C11DB5-BD1A-4413-93F2-4F1A81BF6A4D}"/>
            </a:ext>
          </a:extLst>
        </xdr:cNvPr>
        <xdr:cNvPicPr preferRelativeResize="0"/>
      </xdr:nvPicPr>
      <xdr:blipFill>
        <a:blip xmlns:r="http://schemas.openxmlformats.org/officeDocument/2006/relationships" r:embed="rId5" cstate="print"/>
        <a:stretch>
          <a:fillRect/>
        </a:stretch>
      </xdr:blipFill>
      <xdr:spPr>
        <a:xfrm>
          <a:off x="10355717" y="1278616"/>
          <a:ext cx="295275" cy="266700"/>
        </a:xfrm>
        <a:prstGeom prst="rect">
          <a:avLst/>
        </a:prstGeom>
        <a:noFill/>
      </xdr:spPr>
    </xdr:pic>
    <xdr:clientData fLocksWithSheet="0"/>
  </xdr:oneCellAnchor>
  <xdr:twoCellAnchor>
    <xdr:from>
      <xdr:col>3</xdr:col>
      <xdr:colOff>38719</xdr:colOff>
      <xdr:row>2</xdr:row>
      <xdr:rowOff>33420</xdr:rowOff>
    </xdr:from>
    <xdr:to>
      <xdr:col>12</xdr:col>
      <xdr:colOff>100671</xdr:colOff>
      <xdr:row>6</xdr:row>
      <xdr:rowOff>46464</xdr:rowOff>
    </xdr:to>
    <xdr:sp macro="" textlink="">
      <xdr:nvSpPr>
        <xdr:cNvPr id="44" name="TextBox 43">
          <a:extLst>
            <a:ext uri="{FF2B5EF4-FFF2-40B4-BE49-F238E27FC236}">
              <a16:creationId xmlns:a16="http://schemas.microsoft.com/office/drawing/2014/main" id="{00D50FE7-23CA-0769-D222-A68F890D4F04}"/>
            </a:ext>
          </a:extLst>
        </xdr:cNvPr>
        <xdr:cNvSpPr txBox="1"/>
      </xdr:nvSpPr>
      <xdr:spPr>
        <a:xfrm>
          <a:off x="2013414" y="420615"/>
          <a:ext cx="5986037" cy="787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baseline="0">
              <a:solidFill>
                <a:srgbClr val="002060"/>
              </a:solidFill>
              <a:latin typeface="Lato Black" panose="020F0502020204030204" pitchFamily="34" charset="0"/>
              <a:ea typeface="Lato Black" panose="020F0502020204030204" pitchFamily="34" charset="0"/>
              <a:cs typeface="Lato Black" panose="020F0502020204030204" pitchFamily="34" charset="0"/>
            </a:rPr>
            <a:t>AgricMe</a:t>
          </a:r>
          <a:r>
            <a:rPr lang="en-US" sz="2800">
              <a:solidFill>
                <a:srgbClr val="002060"/>
              </a:solidFill>
            </a:rPr>
            <a:t> </a:t>
          </a:r>
          <a:r>
            <a:rPr lang="en-US" sz="2800" b="0" baseline="0">
              <a:solidFill>
                <a:srgbClr val="002060"/>
              </a:solidFill>
              <a:latin typeface="Lato Black" panose="020F0502020204030204" pitchFamily="34" charset="0"/>
              <a:ea typeface="Lato Black" panose="020F0502020204030204" pitchFamily="34" charset="0"/>
              <a:cs typeface="Lato Black" panose="020F0502020204030204" pitchFamily="34" charset="0"/>
            </a:rPr>
            <a:t>Analytical</a:t>
          </a:r>
          <a:r>
            <a:rPr lang="en-US" sz="2800">
              <a:solidFill>
                <a:srgbClr val="002060"/>
              </a:solidFill>
            </a:rPr>
            <a:t> </a:t>
          </a:r>
          <a:r>
            <a:rPr lang="en-US" sz="2800" b="0" baseline="0">
              <a:solidFill>
                <a:srgbClr val="002060"/>
              </a:solidFill>
              <a:latin typeface="Lato Black" panose="020F0502020204030204" pitchFamily="34" charset="0"/>
              <a:ea typeface="Lato Black" panose="020F0502020204030204" pitchFamily="34" charset="0"/>
              <a:cs typeface="Lato Black" panose="020F0502020204030204" pitchFamily="34" charset="0"/>
            </a:rPr>
            <a:t>Dashboard</a:t>
          </a:r>
        </a:p>
      </xdr:txBody>
    </xdr:sp>
    <xdr:clientData/>
  </xdr:twoCellAnchor>
  <xdr:oneCellAnchor>
    <xdr:from>
      <xdr:col>10</xdr:col>
      <xdr:colOff>650488</xdr:colOff>
      <xdr:row>2</xdr:row>
      <xdr:rowOff>92927</xdr:rowOff>
    </xdr:from>
    <xdr:ext cx="526585" cy="503354"/>
    <xdr:pic>
      <xdr:nvPicPr>
        <xdr:cNvPr id="45" name="image3.png">
          <a:extLst>
            <a:ext uri="{FF2B5EF4-FFF2-40B4-BE49-F238E27FC236}">
              <a16:creationId xmlns:a16="http://schemas.microsoft.com/office/drawing/2014/main" id="{0E74B5FF-9CE1-453B-AC4B-B10575796190}"/>
            </a:ext>
          </a:extLst>
        </xdr:cNvPr>
        <xdr:cNvPicPr preferRelativeResize="0"/>
      </xdr:nvPicPr>
      <xdr:blipFill>
        <a:blip xmlns:r="http://schemas.openxmlformats.org/officeDocument/2006/relationships" r:embed="rId6" cstate="print"/>
        <a:stretch>
          <a:fillRect/>
        </a:stretch>
      </xdr:blipFill>
      <xdr:spPr>
        <a:xfrm>
          <a:off x="7232805" y="480122"/>
          <a:ext cx="526585" cy="503354"/>
        </a:xfrm>
        <a:prstGeom prst="rect">
          <a:avLst/>
        </a:prstGeom>
        <a:noFill/>
      </xdr:spPr>
    </xdr:pic>
    <xdr:clientData fLocksWithSheet="0"/>
  </xdr:oneCellAnchor>
  <xdr:twoCellAnchor>
    <xdr:from>
      <xdr:col>11</xdr:col>
      <xdr:colOff>308999</xdr:colOff>
      <xdr:row>1</xdr:row>
      <xdr:rowOff>147342</xdr:rowOff>
    </xdr:from>
    <xdr:to>
      <xdr:col>13</xdr:col>
      <xdr:colOff>542005</xdr:colOff>
      <xdr:row>5</xdr:row>
      <xdr:rowOff>123903</xdr:rowOff>
    </xdr:to>
    <xdr:sp macro="" textlink="">
      <xdr:nvSpPr>
        <xdr:cNvPr id="46" name="TextBox 45">
          <a:extLst>
            <a:ext uri="{FF2B5EF4-FFF2-40B4-BE49-F238E27FC236}">
              <a16:creationId xmlns:a16="http://schemas.microsoft.com/office/drawing/2014/main" id="{60B52E02-50B7-B17F-3F99-628E0EB86C4A}"/>
            </a:ext>
          </a:extLst>
        </xdr:cNvPr>
        <xdr:cNvSpPr txBox="1"/>
      </xdr:nvSpPr>
      <xdr:spPr>
        <a:xfrm>
          <a:off x="7549548" y="340940"/>
          <a:ext cx="1549469" cy="75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Service</a:t>
          </a:r>
        </a:p>
        <a:p>
          <a:pPr algn="ctr"/>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Satisfaction</a:t>
          </a:r>
        </a:p>
        <a:p>
          <a:pPr algn="ct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Rate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13</xdr:col>
      <xdr:colOff>185855</xdr:colOff>
      <xdr:row>2</xdr:row>
      <xdr:rowOff>54206</xdr:rowOff>
    </xdr:from>
    <xdr:to>
      <xdr:col>14</xdr:col>
      <xdr:colOff>539719</xdr:colOff>
      <xdr:row>5</xdr:row>
      <xdr:rowOff>178109</xdr:rowOff>
    </xdr:to>
    <xdr:graphicFrame macro="">
      <xdr:nvGraphicFramePr>
        <xdr:cNvPr id="47" name="Chart 46">
          <a:extLst>
            <a:ext uri="{FF2B5EF4-FFF2-40B4-BE49-F238E27FC236}">
              <a16:creationId xmlns:a16="http://schemas.microsoft.com/office/drawing/2014/main" id="{54A42BFA-35BF-4C7B-A1BE-BF9A072D4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325908</xdr:colOff>
      <xdr:row>2</xdr:row>
      <xdr:rowOff>139168</xdr:rowOff>
    </xdr:from>
    <xdr:to>
      <xdr:col>15</xdr:col>
      <xdr:colOff>173507</xdr:colOff>
      <xdr:row>4</xdr:row>
      <xdr:rowOff>139168</xdr:rowOff>
    </xdr:to>
    <xdr:sp macro="" textlink="KPI!$G$7">
      <xdr:nvSpPr>
        <xdr:cNvPr id="48" name="TextBox 47">
          <a:extLst>
            <a:ext uri="{FF2B5EF4-FFF2-40B4-BE49-F238E27FC236}">
              <a16:creationId xmlns:a16="http://schemas.microsoft.com/office/drawing/2014/main" id="{7C80FAEE-BA99-FA7D-ED35-A8F5846C0FDB}"/>
            </a:ext>
          </a:extLst>
        </xdr:cNvPr>
        <xdr:cNvSpPr txBox="1"/>
      </xdr:nvSpPr>
      <xdr:spPr>
        <a:xfrm>
          <a:off x="8882920" y="526363"/>
          <a:ext cx="1164063"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6D03D7-6C99-4575-B8BC-6A2FFC93F981}"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2.6</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14</xdr:col>
      <xdr:colOff>348475</xdr:colOff>
      <xdr:row>2</xdr:row>
      <xdr:rowOff>69694</xdr:rowOff>
    </xdr:from>
    <xdr:to>
      <xdr:col>16</xdr:col>
      <xdr:colOff>178110</xdr:colOff>
      <xdr:row>5</xdr:row>
      <xdr:rowOff>0</xdr:rowOff>
    </xdr:to>
    <xdr:graphicFrame macro="">
      <xdr:nvGraphicFramePr>
        <xdr:cNvPr id="50" name="Chart 49">
          <a:extLst>
            <a:ext uri="{FF2B5EF4-FFF2-40B4-BE49-F238E27FC236}">
              <a16:creationId xmlns:a16="http://schemas.microsoft.com/office/drawing/2014/main" id="{B05C159A-DB5F-4BE0-A826-708A2091B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418172</xdr:colOff>
      <xdr:row>2</xdr:row>
      <xdr:rowOff>146939</xdr:rowOff>
    </xdr:from>
    <xdr:to>
      <xdr:col>16</xdr:col>
      <xdr:colOff>123903</xdr:colOff>
      <xdr:row>4</xdr:row>
      <xdr:rowOff>166687</xdr:rowOff>
    </xdr:to>
    <xdr:sp macro="" textlink="">
      <xdr:nvSpPr>
        <xdr:cNvPr id="51" name="Freeform: Shape 50">
          <a:extLst>
            <a:ext uri="{FF2B5EF4-FFF2-40B4-BE49-F238E27FC236}">
              <a16:creationId xmlns:a16="http://schemas.microsoft.com/office/drawing/2014/main" id="{B7CE4014-989E-C159-ED3E-9ECFE748C443}"/>
            </a:ext>
          </a:extLst>
        </xdr:cNvPr>
        <xdr:cNvSpPr/>
      </xdr:nvSpPr>
      <xdr:spPr>
        <a:xfrm>
          <a:off x="9641547" y="543814"/>
          <a:ext cx="1023356" cy="416623"/>
        </a:xfrm>
        <a:custGeom>
          <a:avLst/>
          <a:gdLst>
            <a:gd name="csX0" fmla="*/ 1563757 w 2511287"/>
            <a:gd name="csY0" fmla="*/ 0 h 771300"/>
            <a:gd name="csX1" fmla="*/ 2179983 w 2511287"/>
            <a:gd name="csY1" fmla="*/ 0 h 771300"/>
            <a:gd name="csX2" fmla="*/ 2101774 w 2511287"/>
            <a:gd name="csY2" fmla="*/ 246768 h 771300"/>
            <a:gd name="csX3" fmla="*/ 1895060 w 2511287"/>
            <a:gd name="csY3" fmla="*/ 246766 h 771300"/>
            <a:gd name="csX4" fmla="*/ 1895060 w 2511287"/>
            <a:gd name="csY4" fmla="*/ 246766 h 771300"/>
            <a:gd name="csX5" fmla="*/ 1871870 w 2511287"/>
            <a:gd name="csY5" fmla="*/ 246766 h 771300"/>
            <a:gd name="csX6" fmla="*/ 1848679 w 2511287"/>
            <a:gd name="csY6" fmla="*/ 246766 h 771300"/>
            <a:gd name="csX7" fmla="*/ 1848680 w 2511287"/>
            <a:gd name="csY7" fmla="*/ 246766 h 771300"/>
            <a:gd name="csX8" fmla="*/ 1641965 w 2511287"/>
            <a:gd name="csY8" fmla="*/ 246768 h 771300"/>
            <a:gd name="csX9" fmla="*/ 947531 w 2511287"/>
            <a:gd name="csY9" fmla="*/ 0 h 771300"/>
            <a:gd name="csX10" fmla="*/ 1563757 w 2511287"/>
            <a:gd name="csY10" fmla="*/ 0 h 771300"/>
            <a:gd name="csX11" fmla="*/ 1485548 w 2511287"/>
            <a:gd name="csY11" fmla="*/ 246768 h 771300"/>
            <a:gd name="csX12" fmla="*/ 1278834 w 2511287"/>
            <a:gd name="csY12" fmla="*/ 246766 h 771300"/>
            <a:gd name="csX13" fmla="*/ 1278834 w 2511287"/>
            <a:gd name="csY13" fmla="*/ 246766 h 771300"/>
            <a:gd name="csX14" fmla="*/ 1255644 w 2511287"/>
            <a:gd name="csY14" fmla="*/ 246766 h 771300"/>
            <a:gd name="csX15" fmla="*/ 1232453 w 2511287"/>
            <a:gd name="csY15" fmla="*/ 246766 h 771300"/>
            <a:gd name="csX16" fmla="*/ 1232454 w 2511287"/>
            <a:gd name="csY16" fmla="*/ 246766 h 771300"/>
            <a:gd name="csX17" fmla="*/ 1025739 w 2511287"/>
            <a:gd name="csY17" fmla="*/ 246768 h 771300"/>
            <a:gd name="csX18" fmla="*/ 331305 w 2511287"/>
            <a:gd name="csY18" fmla="*/ 0 h 771300"/>
            <a:gd name="csX19" fmla="*/ 947531 w 2511287"/>
            <a:gd name="csY19" fmla="*/ 0 h 771300"/>
            <a:gd name="csX20" fmla="*/ 869322 w 2511287"/>
            <a:gd name="csY20" fmla="*/ 246768 h 771300"/>
            <a:gd name="csX21" fmla="*/ 662608 w 2511287"/>
            <a:gd name="csY21" fmla="*/ 246766 h 771300"/>
            <a:gd name="csX22" fmla="*/ 662608 w 2511287"/>
            <a:gd name="csY22" fmla="*/ 246766 h 771300"/>
            <a:gd name="csX23" fmla="*/ 639418 w 2511287"/>
            <a:gd name="csY23" fmla="*/ 246766 h 771300"/>
            <a:gd name="csX24" fmla="*/ 616227 w 2511287"/>
            <a:gd name="csY24" fmla="*/ 246766 h 771300"/>
            <a:gd name="csX25" fmla="*/ 616228 w 2511287"/>
            <a:gd name="csY25" fmla="*/ 246766 h 771300"/>
            <a:gd name="csX26" fmla="*/ 409513 w 2511287"/>
            <a:gd name="csY26" fmla="*/ 246768 h 771300"/>
            <a:gd name="csX27" fmla="*/ 0 w 2511287"/>
            <a:gd name="csY27" fmla="*/ 0 h 771300"/>
            <a:gd name="csX28" fmla="*/ 331305 w 2511287"/>
            <a:gd name="csY28" fmla="*/ 0 h 771300"/>
            <a:gd name="csX29" fmla="*/ 253096 w 2511287"/>
            <a:gd name="csY29" fmla="*/ 246768 h 771300"/>
            <a:gd name="csX30" fmla="*/ 1 w 2511287"/>
            <a:gd name="csY30" fmla="*/ 246766 h 771300"/>
            <a:gd name="csX31" fmla="*/ 204760 w 2511287"/>
            <a:gd name="csY31" fmla="*/ 399275 h 771300"/>
            <a:gd name="csX32" fmla="*/ 126547 w 2511287"/>
            <a:gd name="csY32" fmla="*/ 646041 h 771300"/>
            <a:gd name="csX33" fmla="*/ 331305 w 2511287"/>
            <a:gd name="csY33" fmla="*/ 493530 h 771300"/>
            <a:gd name="csX34" fmla="*/ 536062 w 2511287"/>
            <a:gd name="csY34" fmla="*/ 646041 h 771300"/>
            <a:gd name="csX35" fmla="*/ 457849 w 2511287"/>
            <a:gd name="csY35" fmla="*/ 399275 h 771300"/>
            <a:gd name="csX36" fmla="*/ 639418 w 2511287"/>
            <a:gd name="csY36" fmla="*/ 264039 h 771300"/>
            <a:gd name="csX37" fmla="*/ 820986 w 2511287"/>
            <a:gd name="csY37" fmla="*/ 399275 h 771300"/>
            <a:gd name="csX38" fmla="*/ 742773 w 2511287"/>
            <a:gd name="csY38" fmla="*/ 646041 h 771300"/>
            <a:gd name="csX39" fmla="*/ 947531 w 2511287"/>
            <a:gd name="csY39" fmla="*/ 493530 h 771300"/>
            <a:gd name="csX40" fmla="*/ 1152288 w 2511287"/>
            <a:gd name="csY40" fmla="*/ 646041 h 771300"/>
            <a:gd name="csX41" fmla="*/ 1074075 w 2511287"/>
            <a:gd name="csY41" fmla="*/ 399275 h 771300"/>
            <a:gd name="csX42" fmla="*/ 1255644 w 2511287"/>
            <a:gd name="csY42" fmla="*/ 264039 h 771300"/>
            <a:gd name="csX43" fmla="*/ 1437212 w 2511287"/>
            <a:gd name="csY43" fmla="*/ 399275 h 771300"/>
            <a:gd name="csX44" fmla="*/ 1358999 w 2511287"/>
            <a:gd name="csY44" fmla="*/ 646041 h 771300"/>
            <a:gd name="csX45" fmla="*/ 1563757 w 2511287"/>
            <a:gd name="csY45" fmla="*/ 493530 h 771300"/>
            <a:gd name="csX46" fmla="*/ 1768514 w 2511287"/>
            <a:gd name="csY46" fmla="*/ 646041 h 771300"/>
            <a:gd name="csX47" fmla="*/ 1690301 w 2511287"/>
            <a:gd name="csY47" fmla="*/ 399275 h 771300"/>
            <a:gd name="csX48" fmla="*/ 1871870 w 2511287"/>
            <a:gd name="csY48" fmla="*/ 264039 h 771300"/>
            <a:gd name="csX49" fmla="*/ 2053438 w 2511287"/>
            <a:gd name="csY49" fmla="*/ 399275 h 771300"/>
            <a:gd name="csX50" fmla="*/ 1975225 w 2511287"/>
            <a:gd name="csY50" fmla="*/ 646041 h 771300"/>
            <a:gd name="csX51" fmla="*/ 2179983 w 2511287"/>
            <a:gd name="csY51" fmla="*/ 493530 h 771300"/>
            <a:gd name="csX52" fmla="*/ 2384740 w 2511287"/>
            <a:gd name="csY52" fmla="*/ 646041 h 771300"/>
            <a:gd name="csX53" fmla="*/ 2306527 w 2511287"/>
            <a:gd name="csY53" fmla="*/ 399275 h 771300"/>
            <a:gd name="csX54" fmla="*/ 2511286 w 2511287"/>
            <a:gd name="csY54" fmla="*/ 246766 h 771300"/>
            <a:gd name="csX55" fmla="*/ 2258191 w 2511287"/>
            <a:gd name="csY55" fmla="*/ 246768 h 771300"/>
            <a:gd name="csX56" fmla="*/ 2179983 w 2511287"/>
            <a:gd name="csY56" fmla="*/ 0 h 771300"/>
            <a:gd name="csX57" fmla="*/ 2511287 w 2511287"/>
            <a:gd name="csY57" fmla="*/ 0 h 771300"/>
            <a:gd name="csX58" fmla="*/ 2511287 w 2511287"/>
            <a:gd name="csY58" fmla="*/ 771300 h 771300"/>
            <a:gd name="csX59" fmla="*/ 0 w 2511287"/>
            <a:gd name="csY59" fmla="*/ 771300 h 7713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Lst>
          <a:rect l="l" t="t" r="r" b="b"/>
          <a:pathLst>
            <a:path w="2511287" h="771300">
              <a:moveTo>
                <a:pt x="1563757" y="0"/>
              </a:moveTo>
              <a:lnTo>
                <a:pt x="2179983" y="0"/>
              </a:lnTo>
              <a:lnTo>
                <a:pt x="2101774" y="246768"/>
              </a:lnTo>
              <a:lnTo>
                <a:pt x="1895060" y="246766"/>
              </a:lnTo>
              <a:lnTo>
                <a:pt x="1895060" y="246766"/>
              </a:lnTo>
              <a:lnTo>
                <a:pt x="1871870" y="246766"/>
              </a:lnTo>
              <a:lnTo>
                <a:pt x="1848679" y="246766"/>
              </a:lnTo>
              <a:lnTo>
                <a:pt x="1848680" y="246766"/>
              </a:lnTo>
              <a:lnTo>
                <a:pt x="1641965" y="246768"/>
              </a:lnTo>
              <a:close/>
              <a:moveTo>
                <a:pt x="947531" y="0"/>
              </a:moveTo>
              <a:lnTo>
                <a:pt x="1563757" y="0"/>
              </a:lnTo>
              <a:lnTo>
                <a:pt x="1485548" y="246768"/>
              </a:lnTo>
              <a:lnTo>
                <a:pt x="1278834" y="246766"/>
              </a:lnTo>
              <a:lnTo>
                <a:pt x="1278834" y="246766"/>
              </a:lnTo>
              <a:lnTo>
                <a:pt x="1255644" y="246766"/>
              </a:lnTo>
              <a:lnTo>
                <a:pt x="1232453" y="246766"/>
              </a:lnTo>
              <a:lnTo>
                <a:pt x="1232454" y="246766"/>
              </a:lnTo>
              <a:lnTo>
                <a:pt x="1025739" y="246768"/>
              </a:lnTo>
              <a:close/>
              <a:moveTo>
                <a:pt x="331305" y="0"/>
              </a:moveTo>
              <a:lnTo>
                <a:pt x="947531" y="0"/>
              </a:lnTo>
              <a:lnTo>
                <a:pt x="869322" y="246768"/>
              </a:lnTo>
              <a:lnTo>
                <a:pt x="662608" y="246766"/>
              </a:lnTo>
              <a:lnTo>
                <a:pt x="662608" y="246766"/>
              </a:lnTo>
              <a:lnTo>
                <a:pt x="639418" y="246766"/>
              </a:lnTo>
              <a:lnTo>
                <a:pt x="616227" y="246766"/>
              </a:lnTo>
              <a:lnTo>
                <a:pt x="616228" y="246766"/>
              </a:lnTo>
              <a:lnTo>
                <a:pt x="409513" y="246768"/>
              </a:lnTo>
              <a:close/>
              <a:moveTo>
                <a:pt x="0" y="0"/>
              </a:moveTo>
              <a:lnTo>
                <a:pt x="331305" y="0"/>
              </a:lnTo>
              <a:lnTo>
                <a:pt x="253096" y="246768"/>
              </a:lnTo>
              <a:lnTo>
                <a:pt x="1" y="246766"/>
              </a:lnTo>
              <a:lnTo>
                <a:pt x="204760" y="399275"/>
              </a:lnTo>
              <a:lnTo>
                <a:pt x="126547" y="646041"/>
              </a:lnTo>
              <a:lnTo>
                <a:pt x="331305" y="493530"/>
              </a:lnTo>
              <a:lnTo>
                <a:pt x="536062" y="646041"/>
              </a:lnTo>
              <a:lnTo>
                <a:pt x="457849" y="399275"/>
              </a:lnTo>
              <a:lnTo>
                <a:pt x="639418" y="264039"/>
              </a:lnTo>
              <a:lnTo>
                <a:pt x="820986" y="399275"/>
              </a:lnTo>
              <a:lnTo>
                <a:pt x="742773" y="646041"/>
              </a:lnTo>
              <a:lnTo>
                <a:pt x="947531" y="493530"/>
              </a:lnTo>
              <a:lnTo>
                <a:pt x="1152288" y="646041"/>
              </a:lnTo>
              <a:lnTo>
                <a:pt x="1074075" y="399275"/>
              </a:lnTo>
              <a:lnTo>
                <a:pt x="1255644" y="264039"/>
              </a:lnTo>
              <a:lnTo>
                <a:pt x="1437212" y="399275"/>
              </a:lnTo>
              <a:lnTo>
                <a:pt x="1358999" y="646041"/>
              </a:lnTo>
              <a:lnTo>
                <a:pt x="1563757" y="493530"/>
              </a:lnTo>
              <a:lnTo>
                <a:pt x="1768514" y="646041"/>
              </a:lnTo>
              <a:lnTo>
                <a:pt x="1690301" y="399275"/>
              </a:lnTo>
              <a:lnTo>
                <a:pt x="1871870" y="264039"/>
              </a:lnTo>
              <a:lnTo>
                <a:pt x="2053438" y="399275"/>
              </a:lnTo>
              <a:lnTo>
                <a:pt x="1975225" y="646041"/>
              </a:lnTo>
              <a:lnTo>
                <a:pt x="2179983" y="493530"/>
              </a:lnTo>
              <a:lnTo>
                <a:pt x="2384740" y="646041"/>
              </a:lnTo>
              <a:lnTo>
                <a:pt x="2306527" y="399275"/>
              </a:lnTo>
              <a:lnTo>
                <a:pt x="2511286" y="246766"/>
              </a:lnTo>
              <a:lnTo>
                <a:pt x="2258191" y="246768"/>
              </a:lnTo>
              <a:lnTo>
                <a:pt x="2179983" y="0"/>
              </a:lnTo>
              <a:lnTo>
                <a:pt x="2511287" y="0"/>
              </a:lnTo>
              <a:lnTo>
                <a:pt x="2511287" y="771300"/>
              </a:lnTo>
              <a:lnTo>
                <a:pt x="0" y="77130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34</xdr:row>
      <xdr:rowOff>10310</xdr:rowOff>
    </xdr:from>
    <xdr:to>
      <xdr:col>0</xdr:col>
      <xdr:colOff>0</xdr:colOff>
      <xdr:row>36</xdr:row>
      <xdr:rowOff>10310</xdr:rowOff>
    </xdr:to>
    <xdr:sp macro="" textlink="KPI!$G$7">
      <xdr:nvSpPr>
        <xdr:cNvPr id="55" name="TextBox 54">
          <a:extLst>
            <a:ext uri="{FF2B5EF4-FFF2-40B4-BE49-F238E27FC236}">
              <a16:creationId xmlns:a16="http://schemas.microsoft.com/office/drawing/2014/main" id="{A6B17417-F9E7-347D-91EE-328C09047CF9}"/>
            </a:ext>
          </a:extLst>
        </xdr:cNvPr>
        <xdr:cNvSpPr txBox="1"/>
      </xdr:nvSpPr>
      <xdr:spPr>
        <a:xfrm>
          <a:off x="0" y="6592627"/>
          <a:ext cx="0" cy="38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6D03D7-6C99-4575-B8BC-6A2FFC93F981}"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2.6</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357187</xdr:colOff>
      <xdr:row>15</xdr:row>
      <xdr:rowOff>189068</xdr:rowOff>
    </xdr:from>
    <xdr:to>
      <xdr:col>7</xdr:col>
      <xdr:colOff>125258</xdr:colOff>
      <xdr:row>21</xdr:row>
      <xdr:rowOff>182563</xdr:rowOff>
    </xdr:to>
    <xdr:graphicFrame macro="">
      <xdr:nvGraphicFramePr>
        <xdr:cNvPr id="57" name="Chart 56">
          <a:extLst>
            <a:ext uri="{FF2B5EF4-FFF2-40B4-BE49-F238E27FC236}">
              <a16:creationId xmlns:a16="http://schemas.microsoft.com/office/drawing/2014/main" id="{34B59295-3FDF-445C-AD47-0D60C69E0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19787</xdr:colOff>
      <xdr:row>15</xdr:row>
      <xdr:rowOff>169224</xdr:rowOff>
    </xdr:from>
    <xdr:to>
      <xdr:col>4</xdr:col>
      <xdr:colOff>412750</xdr:colOff>
      <xdr:row>22</xdr:row>
      <xdr:rowOff>3970</xdr:rowOff>
    </xdr:to>
    <xdr:graphicFrame macro="">
      <xdr:nvGraphicFramePr>
        <xdr:cNvPr id="59" name="Chart 58">
          <a:extLst>
            <a:ext uri="{FF2B5EF4-FFF2-40B4-BE49-F238E27FC236}">
              <a16:creationId xmlns:a16="http://schemas.microsoft.com/office/drawing/2014/main" id="{1395F006-7D65-42B5-C61C-966B23114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168746</xdr:colOff>
      <xdr:row>17</xdr:row>
      <xdr:rowOff>185816</xdr:rowOff>
    </xdr:from>
    <xdr:to>
      <xdr:col>5</xdr:col>
      <xdr:colOff>16345</xdr:colOff>
      <xdr:row>19</xdr:row>
      <xdr:rowOff>185816</xdr:rowOff>
    </xdr:to>
    <xdr:sp macro="" textlink="Gender!B9">
      <xdr:nvSpPr>
        <xdr:cNvPr id="60" name="TextBox 59">
          <a:extLst>
            <a:ext uri="{FF2B5EF4-FFF2-40B4-BE49-F238E27FC236}">
              <a16:creationId xmlns:a16="http://schemas.microsoft.com/office/drawing/2014/main" id="{AD10EE3D-5943-E1E3-6745-BBAEACD8457C}"/>
            </a:ext>
          </a:extLst>
        </xdr:cNvPr>
        <xdr:cNvSpPr txBox="1"/>
      </xdr:nvSpPr>
      <xdr:spPr>
        <a:xfrm>
          <a:off x="2145184" y="3559254"/>
          <a:ext cx="1165224"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8932C8-C6D1-4A1F-924E-F6FE0FD31E88}"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588</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0</xdr:col>
      <xdr:colOff>0</xdr:colOff>
      <xdr:row>33</xdr:row>
      <xdr:rowOff>102655</xdr:rowOff>
    </xdr:from>
    <xdr:to>
      <xdr:col>0</xdr:col>
      <xdr:colOff>0</xdr:colOff>
      <xdr:row>35</xdr:row>
      <xdr:rowOff>102655</xdr:rowOff>
    </xdr:to>
    <xdr:sp macro="" textlink="KPI!$G$7">
      <xdr:nvSpPr>
        <xdr:cNvPr id="61" name="TextBox 60">
          <a:extLst>
            <a:ext uri="{FF2B5EF4-FFF2-40B4-BE49-F238E27FC236}">
              <a16:creationId xmlns:a16="http://schemas.microsoft.com/office/drawing/2014/main" id="{3D8B6743-C149-7588-F308-0377AF161298}"/>
            </a:ext>
          </a:extLst>
        </xdr:cNvPr>
        <xdr:cNvSpPr txBox="1"/>
      </xdr:nvSpPr>
      <xdr:spPr>
        <a:xfrm>
          <a:off x="0" y="6651093"/>
          <a:ext cx="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6D03D7-6C99-4575-B8BC-6A2FFC93F981}"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2.6</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5</xdr:col>
      <xdr:colOff>527520</xdr:colOff>
      <xdr:row>17</xdr:row>
      <xdr:rowOff>185816</xdr:rowOff>
    </xdr:from>
    <xdr:to>
      <xdr:col>7</xdr:col>
      <xdr:colOff>375119</xdr:colOff>
      <xdr:row>19</xdr:row>
      <xdr:rowOff>185816</xdr:rowOff>
    </xdr:to>
    <xdr:sp macro="" textlink="Gender!B10">
      <xdr:nvSpPr>
        <xdr:cNvPr id="62" name="TextBox 61">
          <a:extLst>
            <a:ext uri="{FF2B5EF4-FFF2-40B4-BE49-F238E27FC236}">
              <a16:creationId xmlns:a16="http://schemas.microsoft.com/office/drawing/2014/main" id="{9F952C4C-7CDA-7B56-710D-9496C9B11D4D}"/>
            </a:ext>
          </a:extLst>
        </xdr:cNvPr>
        <xdr:cNvSpPr txBox="1"/>
      </xdr:nvSpPr>
      <xdr:spPr>
        <a:xfrm>
          <a:off x="3821583" y="3559254"/>
          <a:ext cx="1165224"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B99CC25-F95B-4CC0-96B9-1FFE7F9D167C}" type="TxLink">
            <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rPr>
            <a:pPr marL="0" indent="0"/>
            <a:t>882</a:t>
          </a:fld>
          <a:endParaRPr lang="en-US" sz="1800" b="1">
            <a:solidFill>
              <a:srgbClr val="00206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editAs="oneCell">
    <xdr:from>
      <xdr:col>4</xdr:col>
      <xdr:colOff>587376</xdr:colOff>
      <xdr:row>17</xdr:row>
      <xdr:rowOff>134175</xdr:rowOff>
    </xdr:from>
    <xdr:to>
      <xdr:col>5</xdr:col>
      <xdr:colOff>492126</xdr:colOff>
      <xdr:row>20</xdr:row>
      <xdr:rowOff>102426</xdr:rowOff>
    </xdr:to>
    <xdr:pic>
      <xdr:nvPicPr>
        <xdr:cNvPr id="64" name="Graphic 63" descr="User with solid fill">
          <a:extLst>
            <a:ext uri="{FF2B5EF4-FFF2-40B4-BE49-F238E27FC236}">
              <a16:creationId xmlns:a16="http://schemas.microsoft.com/office/drawing/2014/main" id="{35BD6570-10D3-3839-DB1E-459B305AED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22626" y="3507613"/>
          <a:ext cx="563563" cy="563563"/>
        </a:xfrm>
        <a:prstGeom prst="rect">
          <a:avLst/>
        </a:prstGeom>
      </xdr:spPr>
    </xdr:pic>
    <xdr:clientData/>
  </xdr:twoCellAnchor>
  <xdr:twoCellAnchor editAs="oneCell">
    <xdr:from>
      <xdr:col>4</xdr:col>
      <xdr:colOff>134126</xdr:colOff>
      <xdr:row>17</xdr:row>
      <xdr:rowOff>141707</xdr:rowOff>
    </xdr:from>
    <xdr:to>
      <xdr:col>5</xdr:col>
      <xdr:colOff>23812</xdr:colOff>
      <xdr:row>20</xdr:row>
      <xdr:rowOff>94894</xdr:rowOff>
    </xdr:to>
    <xdr:pic>
      <xdr:nvPicPr>
        <xdr:cNvPr id="66" name="Graphic 65" descr="Female Profile with solid fill">
          <a:extLst>
            <a:ext uri="{FF2B5EF4-FFF2-40B4-BE49-F238E27FC236}">
              <a16:creationId xmlns:a16="http://schemas.microsoft.com/office/drawing/2014/main" id="{EC5D489F-A95F-9CD1-F3E9-752218E5629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69376" y="3515145"/>
          <a:ext cx="548499" cy="548499"/>
        </a:xfrm>
        <a:prstGeom prst="rect">
          <a:avLst/>
        </a:prstGeom>
      </xdr:spPr>
    </xdr:pic>
    <xdr:clientData/>
  </xdr:twoCellAnchor>
  <xdr:twoCellAnchor editAs="oneCell">
    <xdr:from>
      <xdr:col>3</xdr:col>
      <xdr:colOff>380999</xdr:colOff>
      <xdr:row>13</xdr:row>
      <xdr:rowOff>31752</xdr:rowOff>
    </xdr:from>
    <xdr:to>
      <xdr:col>6</xdr:col>
      <xdr:colOff>233362</xdr:colOff>
      <xdr:row>16</xdr:row>
      <xdr:rowOff>142876</xdr:rowOff>
    </xdr:to>
    <mc:AlternateContent xmlns:mc="http://schemas.openxmlformats.org/markup-compatibility/2006">
      <mc:Choice xmlns:a14="http://schemas.microsoft.com/office/drawing/2010/main" Requires="a14">
        <xdr:graphicFrame macro="">
          <xdr:nvGraphicFramePr>
            <xdr:cNvPr id="67" name="Gender 2">
              <a:extLst>
                <a:ext uri="{FF2B5EF4-FFF2-40B4-BE49-F238E27FC236}">
                  <a16:creationId xmlns:a16="http://schemas.microsoft.com/office/drawing/2014/main" id="{0BB2C56B-A610-4724-A4A1-CCAB8948C10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349499" y="2645835"/>
              <a:ext cx="1820863" cy="71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29936</xdr:colOff>
      <xdr:row>10</xdr:row>
      <xdr:rowOff>106929</xdr:rowOff>
    </xdr:from>
    <xdr:to>
      <xdr:col>6</xdr:col>
      <xdr:colOff>587375</xdr:colOff>
      <xdr:row>12</xdr:row>
      <xdr:rowOff>106929</xdr:rowOff>
    </xdr:to>
    <xdr:sp macro="" textlink="">
      <xdr:nvSpPr>
        <xdr:cNvPr id="68" name="TextBox 67">
          <a:extLst>
            <a:ext uri="{FF2B5EF4-FFF2-40B4-BE49-F238E27FC236}">
              <a16:creationId xmlns:a16="http://schemas.microsoft.com/office/drawing/2014/main" id="{B2A3F293-5E36-8CC0-755D-F73681FE7D8A}"/>
            </a:ext>
          </a:extLst>
        </xdr:cNvPr>
        <xdr:cNvSpPr txBox="1"/>
      </xdr:nvSpPr>
      <xdr:spPr>
        <a:xfrm>
          <a:off x="2006374" y="2091304"/>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Total Employee by Gender</a:t>
          </a:r>
        </a:p>
      </xdr:txBody>
    </xdr:sp>
    <xdr:clientData/>
  </xdr:twoCellAnchor>
  <xdr:twoCellAnchor>
    <xdr:from>
      <xdr:col>7</xdr:col>
      <xdr:colOff>444273</xdr:colOff>
      <xdr:row>10</xdr:row>
      <xdr:rowOff>106929</xdr:rowOff>
    </xdr:from>
    <xdr:to>
      <xdr:col>11</xdr:col>
      <xdr:colOff>342899</xdr:colOff>
      <xdr:row>12</xdr:row>
      <xdr:rowOff>106929</xdr:rowOff>
    </xdr:to>
    <xdr:sp macro="" textlink="">
      <xdr:nvSpPr>
        <xdr:cNvPr id="71" name="TextBox 70">
          <a:extLst>
            <a:ext uri="{FF2B5EF4-FFF2-40B4-BE49-F238E27FC236}">
              <a16:creationId xmlns:a16="http://schemas.microsoft.com/office/drawing/2014/main" id="{A28B8081-825F-7D21-2CBA-F0028494708D}"/>
            </a:ext>
          </a:extLst>
        </xdr:cNvPr>
        <xdr:cNvSpPr txBox="1"/>
      </xdr:nvSpPr>
      <xdr:spPr>
        <a:xfrm>
          <a:off x="5055961" y="2091304"/>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Education</a:t>
          </a:r>
        </a:p>
      </xdr:txBody>
    </xdr:sp>
    <xdr:clientData/>
  </xdr:twoCellAnchor>
  <xdr:twoCellAnchor>
    <xdr:from>
      <xdr:col>12</xdr:col>
      <xdr:colOff>247423</xdr:colOff>
      <xdr:row>10</xdr:row>
      <xdr:rowOff>106929</xdr:rowOff>
    </xdr:from>
    <xdr:to>
      <xdr:col>16</xdr:col>
      <xdr:colOff>146049</xdr:colOff>
      <xdr:row>12</xdr:row>
      <xdr:rowOff>106929</xdr:rowOff>
    </xdr:to>
    <xdr:sp macro="" textlink="">
      <xdr:nvSpPr>
        <xdr:cNvPr id="72" name="TextBox 71">
          <a:extLst>
            <a:ext uri="{FF2B5EF4-FFF2-40B4-BE49-F238E27FC236}">
              <a16:creationId xmlns:a16="http://schemas.microsoft.com/office/drawing/2014/main" id="{AD3090BC-090A-EB0D-71E0-F5EFA4B55AF2}"/>
            </a:ext>
          </a:extLst>
        </xdr:cNvPr>
        <xdr:cNvSpPr txBox="1"/>
      </xdr:nvSpPr>
      <xdr:spPr>
        <a:xfrm>
          <a:off x="8153173" y="2091304"/>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Job</a:t>
          </a:r>
          <a:r>
            <a:rPr lang="en-US" sz="14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Role</a:t>
          </a:r>
          <a:endPar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11</xdr:col>
      <xdr:colOff>635000</xdr:colOff>
      <xdr:row>12</xdr:row>
      <xdr:rowOff>7939</xdr:rowOff>
    </xdr:from>
    <xdr:to>
      <xdr:col>16</xdr:col>
      <xdr:colOff>182563</xdr:colOff>
      <xdr:row>22</xdr:row>
      <xdr:rowOff>134938</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154C3CB2-A00E-43CB-90ED-0F99160B3B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881938" y="2389189"/>
              <a:ext cx="2841625" cy="2111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71437</xdr:colOff>
      <xdr:row>25</xdr:row>
      <xdr:rowOff>31751</xdr:rowOff>
    </xdr:from>
    <xdr:to>
      <xdr:col>6</xdr:col>
      <xdr:colOff>515937</xdr:colOff>
      <xdr:row>34</xdr:row>
      <xdr:rowOff>158750</xdr:rowOff>
    </xdr:to>
    <xdr:graphicFrame macro="">
      <xdr:nvGraphicFramePr>
        <xdr:cNvPr id="74" name="Chart 73">
          <a:extLst>
            <a:ext uri="{FF2B5EF4-FFF2-40B4-BE49-F238E27FC236}">
              <a16:creationId xmlns:a16="http://schemas.microsoft.com/office/drawing/2014/main" id="{C2C5628B-C4D8-4708-94B8-2C194EED0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88673</xdr:colOff>
      <xdr:row>23</xdr:row>
      <xdr:rowOff>55334</xdr:rowOff>
    </xdr:from>
    <xdr:to>
      <xdr:col>6</xdr:col>
      <xdr:colOff>646112</xdr:colOff>
      <xdr:row>25</xdr:row>
      <xdr:rowOff>55334</xdr:rowOff>
    </xdr:to>
    <xdr:sp macro="" textlink="">
      <xdr:nvSpPr>
        <xdr:cNvPr id="76" name="TextBox 75">
          <a:extLst>
            <a:ext uri="{FF2B5EF4-FFF2-40B4-BE49-F238E27FC236}">
              <a16:creationId xmlns:a16="http://schemas.microsoft.com/office/drawing/2014/main" id="{FD975FE6-4143-D100-C1A9-E9427FBF037E}"/>
            </a:ext>
          </a:extLst>
        </xdr:cNvPr>
        <xdr:cNvSpPr txBox="1"/>
      </xdr:nvSpPr>
      <xdr:spPr>
        <a:xfrm>
          <a:off x="2065111"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Department</a:t>
          </a:r>
        </a:p>
      </xdr:txBody>
    </xdr:sp>
    <xdr:clientData/>
  </xdr:twoCellAnchor>
  <xdr:twoCellAnchor>
    <xdr:from>
      <xdr:col>7</xdr:col>
      <xdr:colOff>31750</xdr:colOff>
      <xdr:row>24</xdr:row>
      <xdr:rowOff>190501</xdr:rowOff>
    </xdr:from>
    <xdr:to>
      <xdr:col>10</xdr:col>
      <xdr:colOff>333375</xdr:colOff>
      <xdr:row>34</xdr:row>
      <xdr:rowOff>134938</xdr:rowOff>
    </xdr:to>
    <xdr:graphicFrame macro="">
      <xdr:nvGraphicFramePr>
        <xdr:cNvPr id="77" name="Chart 76">
          <a:extLst>
            <a:ext uri="{FF2B5EF4-FFF2-40B4-BE49-F238E27FC236}">
              <a16:creationId xmlns:a16="http://schemas.microsoft.com/office/drawing/2014/main" id="{0E80F9D8-29FF-46C0-A5B8-3B0E4A5DB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15875</xdr:colOff>
      <xdr:row>12</xdr:row>
      <xdr:rowOff>47625</xdr:rowOff>
    </xdr:from>
    <xdr:to>
      <xdr:col>11</xdr:col>
      <xdr:colOff>555624</xdr:colOff>
      <xdr:row>22</xdr:row>
      <xdr:rowOff>87313</xdr:rowOff>
    </xdr:to>
    <xdr:graphicFrame macro="">
      <xdr:nvGraphicFramePr>
        <xdr:cNvPr id="78" name="Chart 77">
          <a:extLst>
            <a:ext uri="{FF2B5EF4-FFF2-40B4-BE49-F238E27FC236}">
              <a16:creationId xmlns:a16="http://schemas.microsoft.com/office/drawing/2014/main" id="{7DDF66D7-AA7D-49F6-8472-084C41D91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50573</xdr:colOff>
      <xdr:row>23</xdr:row>
      <xdr:rowOff>55334</xdr:rowOff>
    </xdr:from>
    <xdr:to>
      <xdr:col>10</xdr:col>
      <xdr:colOff>608012</xdr:colOff>
      <xdr:row>25</xdr:row>
      <xdr:rowOff>55334</xdr:rowOff>
    </xdr:to>
    <xdr:sp macro="" textlink="">
      <xdr:nvSpPr>
        <xdr:cNvPr id="79" name="TextBox 78">
          <a:extLst>
            <a:ext uri="{FF2B5EF4-FFF2-40B4-BE49-F238E27FC236}">
              <a16:creationId xmlns:a16="http://schemas.microsoft.com/office/drawing/2014/main" id="{C72A6192-9255-F5DB-E832-585CC7E400FC}"/>
            </a:ext>
          </a:extLst>
        </xdr:cNvPr>
        <xdr:cNvSpPr txBox="1"/>
      </xdr:nvSpPr>
      <xdr:spPr>
        <a:xfrm>
          <a:off x="4662261"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Attrition by Age</a:t>
          </a:r>
        </a:p>
      </xdr:txBody>
    </xdr:sp>
    <xdr:clientData/>
  </xdr:twoCellAnchor>
  <xdr:twoCellAnchor>
    <xdr:from>
      <xdr:col>10</xdr:col>
      <xdr:colOff>401411</xdr:colOff>
      <xdr:row>23</xdr:row>
      <xdr:rowOff>55334</xdr:rowOff>
    </xdr:from>
    <xdr:to>
      <xdr:col>14</xdr:col>
      <xdr:colOff>300037</xdr:colOff>
      <xdr:row>25</xdr:row>
      <xdr:rowOff>55334</xdr:rowOff>
    </xdr:to>
    <xdr:sp macro="" textlink="">
      <xdr:nvSpPr>
        <xdr:cNvPr id="80" name="TextBox 79">
          <a:extLst>
            <a:ext uri="{FF2B5EF4-FFF2-40B4-BE49-F238E27FC236}">
              <a16:creationId xmlns:a16="http://schemas.microsoft.com/office/drawing/2014/main" id="{0445CFDA-8116-66B6-EC8D-D932E69EC29F}"/>
            </a:ext>
          </a:extLst>
        </xdr:cNvPr>
        <xdr:cNvSpPr txBox="1"/>
      </xdr:nvSpPr>
      <xdr:spPr>
        <a:xfrm>
          <a:off x="6989536"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Marital</a:t>
          </a:r>
          <a:r>
            <a:rPr lang="en-US" sz="1300" b="0" baseline="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 Based Attrition</a:t>
          </a:r>
          <a:endParaRPr lang="en-US" sz="13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484188</xdr:colOff>
      <xdr:row>25</xdr:row>
      <xdr:rowOff>15873</xdr:rowOff>
    </xdr:from>
    <xdr:to>
      <xdr:col>13</xdr:col>
      <xdr:colOff>317499</xdr:colOff>
      <xdr:row>34</xdr:row>
      <xdr:rowOff>166687</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C2B0BE68-DFC1-43FF-939D-FC68CF5230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7072313" y="4976811"/>
              <a:ext cx="1809749" cy="19367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484188</xdr:colOff>
      <xdr:row>25</xdr:row>
      <xdr:rowOff>50669</xdr:rowOff>
    </xdr:from>
    <xdr:to>
      <xdr:col>16</xdr:col>
      <xdr:colOff>142875</xdr:colOff>
      <xdr:row>34</xdr:row>
      <xdr:rowOff>95250</xdr:rowOff>
    </xdr:to>
    <mc:AlternateContent xmlns:mc="http://schemas.openxmlformats.org/markup-compatibility/2006">
      <mc:Choice xmlns:a14="http://schemas.microsoft.com/office/drawing/2010/main" Requires="a14">
        <xdr:graphicFrame macro="">
          <xdr:nvGraphicFramePr>
            <xdr:cNvPr id="82" name="Job Role 1">
              <a:extLst>
                <a:ext uri="{FF2B5EF4-FFF2-40B4-BE49-F238E27FC236}">
                  <a16:creationId xmlns:a16="http://schemas.microsoft.com/office/drawing/2014/main" id="{B58B09BA-EFCA-4920-8F80-952D32B6FEEB}"/>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dr:sp macro="" textlink="">
          <xdr:nvSpPr>
            <xdr:cNvPr id="0" name=""/>
            <xdr:cNvSpPr>
              <a:spLocks noTextEdit="1"/>
            </xdr:cNvSpPr>
          </xdr:nvSpPr>
          <xdr:spPr>
            <a:xfrm>
              <a:off x="9014355" y="5077752"/>
              <a:ext cx="1627187" cy="185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164874</xdr:colOff>
      <xdr:row>23</xdr:row>
      <xdr:rowOff>55334</xdr:rowOff>
    </xdr:from>
    <xdr:to>
      <xdr:col>18</xdr:col>
      <xdr:colOff>63500</xdr:colOff>
      <xdr:row>25</xdr:row>
      <xdr:rowOff>55334</xdr:rowOff>
    </xdr:to>
    <xdr:sp macro="" textlink="">
      <xdr:nvSpPr>
        <xdr:cNvPr id="83" name="TextBox 82">
          <a:extLst>
            <a:ext uri="{FF2B5EF4-FFF2-40B4-BE49-F238E27FC236}">
              <a16:creationId xmlns:a16="http://schemas.microsoft.com/office/drawing/2014/main" id="{A4AA720D-41E4-0720-2BFA-B0397E4EF831}"/>
            </a:ext>
          </a:extLst>
        </xdr:cNvPr>
        <xdr:cNvSpPr txBox="1"/>
      </xdr:nvSpPr>
      <xdr:spPr>
        <a:xfrm>
          <a:off x="9388249" y="4619397"/>
          <a:ext cx="2533876"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0">
              <a:solidFill>
                <a:schemeClr val="accent2">
                  <a:lumMod val="75000"/>
                </a:schemeClr>
              </a:solidFill>
              <a:latin typeface="Lato Black" panose="020F0502020204030204" pitchFamily="34" charset="0"/>
              <a:ea typeface="Lato Black" panose="020F0502020204030204" pitchFamily="34" charset="0"/>
              <a:cs typeface="Lato Black" panose="020F0502020204030204" pitchFamily="34" charset="0"/>
            </a:rPr>
            <a:t>Job Role</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62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38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457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267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9.567138773149" createdVersion="8" refreshedVersion="8" minRefreshableVersion="3" recordCount="1470" xr:uid="{E2A28819-655E-40B8-8C83-844EA5EAA4E6}">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40568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14F28-74B2-41BA-AA25-3A59E2B53D10}"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rate"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46865B-F8DB-4E89-B8D8-7AA1B3A75E60}"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9"/>
  </dataFields>
  <formats count="1">
    <format dxfId="1">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B01EB7-A406-47B8-AD66-CD62FACC6B6B}"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70C5F-8692-4AD6-9EBD-7F60D77E8E3E}"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C6BF9-4952-469D-BEE9-6B93FBF11671}"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DF9135-DFC2-48A3-BBA5-1F19178E2143}"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BE9D6F-0AA6-4EB3-B412-7874D44C75A5}"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rate" fld="19" baseField="0" baseItem="0"/>
  </dataFields>
  <chartFormats count="3">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FC920C-E9C2-4688-B964-682C1A486735}"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9F6297-5097-4769-B515-6F4DDFE6FD72}"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4">
    <pivotField showAll="0"/>
    <pivotField showAll="0"/>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 Count" fld="24" subtotal="count" baseField="0" baseItem="0"/>
    <dataField name="Sum of CF_attrition rate" fld="19" baseField="0" baseItem="0"/>
    <dataField name="Sum of CF_current Employee" fld="20" baseField="0" baseItem="0"/>
    <dataField name="Average of Age" fld="16" subtotal="average" baseField="0" baseItem="1" numFmtId="164"/>
  </dataFields>
  <formats count="1">
    <format dxfId="3">
      <pivotArea outline="0" collapsedLevelsAreSubtotals="1" fieldPosition="0">
        <references count="1">
          <reference field="4294967294"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63B26ED-AFBC-4F0C-9B56-C8639F066062}" sourceName="Gender">
  <pivotTables>
    <pivotTable tabId="10" name="PivotTable3"/>
    <pivotTable tabId="11" name="PivotTable4"/>
    <pivotTable tabId="9" name="PivotTable1"/>
    <pivotTable tabId="9" name="PivotTable2"/>
    <pivotTable tabId="12" name="PivotTable5"/>
    <pivotTable tabId="13" name="PivotTable6"/>
    <pivotTable tabId="14" name="PivotTable7"/>
    <pivotTable tabId="15" name="PivotTable8"/>
    <pivotTable tabId="16" name="PivotTable9"/>
  </pivotTables>
  <data>
    <tabular pivotCacheId="11405682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3CF7F3-CB8B-47FE-B32C-44A355316B3C}" sourceName="Department">
  <pivotTables>
    <pivotTable tabId="11" name="PivotTable4"/>
  </pivotTables>
  <data>
    <tabular pivotCacheId="11405682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16B4CF2B-6033-4540-9029-30FA2B0B896F}" sourceName="Education Field">
  <pivotTables>
    <pivotTable tabId="11" name="PivotTable4"/>
  </pivotTables>
  <data>
    <tabular pivotCacheId="1140568298">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7EFBF236-BFC5-4FFF-9F06-1735A2550AEA}" sourceName="Job Role">
  <pivotTables>
    <pivotTable tabId="11" name="PivotTable4"/>
    <pivotTable tabId="10" name="PivotTable3"/>
    <pivotTable tabId="9" name="PivotTable1"/>
    <pivotTable tabId="9" name="PivotTable2"/>
    <pivotTable tabId="12" name="PivotTable5"/>
    <pivotTable tabId="13" name="PivotTable6"/>
    <pivotTable tabId="14" name="PivotTable7"/>
    <pivotTable tabId="15" name="PivotTable8"/>
    <pivotTable tabId="16" name="PivotTable9"/>
  </pivotTables>
  <data>
    <tabular pivotCacheId="1140568298">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B4CE43B-B378-4DF3-A536-86F21CA663AC}" cache="Slicer_Gender1"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80957EA-06EB-457C-A9C0-DD1F6988239F}" cache="Slicer_Department" caption="Department" rowHeight="262466"/>
  <slicer name="Education Field" xr10:uid="{11719B95-3F36-41E6-B42A-116920E7D3F9}" cache="Slicer_Education_Field" caption="Education Field" rowHeight="262466"/>
  <slicer name="Job Role" xr10:uid="{42D9F912-271F-4FBF-AA33-456F5BB36EEB}" cache="Slicer_Job_Role" caption="Job Role"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87CC11F-9499-47C4-9FF6-ABB2F4F7CB7E}" cache="Slicer_Gender1" caption="Gender"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029E966-BCBB-4002-A0CE-147FB0CB9CEA}" cache="Slicer_Gender1" caption="Gender" columnCount="2" style="SlicerStyleDark1" rowHeight="262466"/>
  <slicer name="Job Role 1" xr10:uid="{4FC531D1-34C1-4659-B3BE-8C6C33668066}" cache="Slicer_Job_Role" style="SlicerStyleDark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07/relationships/slicer" Target="../slicers/slicer3.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5DFC4-A832-44EB-9DBD-E6455ACACB64}">
  <dimension ref="A3:E13"/>
  <sheetViews>
    <sheetView workbookViewId="0">
      <selection activeCell="F6" sqref="F6"/>
    </sheetView>
  </sheetViews>
  <sheetFormatPr defaultRowHeight="15.5" x14ac:dyDescent="0.35"/>
  <cols>
    <col min="1" max="1" width="22.83203125" bestFit="1" customWidth="1"/>
    <col min="2" max="2" width="20.58203125" bestFit="1" customWidth="1"/>
    <col min="4" max="4" width="22.83203125" bestFit="1" customWidth="1"/>
  </cols>
  <sheetData>
    <row r="3" spans="1:5" x14ac:dyDescent="0.35">
      <c r="A3" s="12" t="s">
        <v>1565</v>
      </c>
      <c r="B3" s="3" t="s">
        <v>1555</v>
      </c>
      <c r="D3" t="s">
        <v>9</v>
      </c>
      <c r="E3" t="s">
        <v>1568</v>
      </c>
    </row>
    <row r="4" spans="1:5" x14ac:dyDescent="0.35">
      <c r="A4" s="13" t="s">
        <v>83</v>
      </c>
      <c r="B4" s="14">
        <v>9</v>
      </c>
      <c r="D4" t="s">
        <v>83</v>
      </c>
      <c r="E4">
        <v>9</v>
      </c>
    </row>
    <row r="5" spans="1:5" x14ac:dyDescent="0.35">
      <c r="A5" s="15" t="s">
        <v>163</v>
      </c>
      <c r="B5" s="16">
        <v>12</v>
      </c>
      <c r="D5" t="s">
        <v>163</v>
      </c>
      <c r="E5">
        <v>12</v>
      </c>
    </row>
    <row r="6" spans="1:5" x14ac:dyDescent="0.35">
      <c r="A6" s="15" t="s">
        <v>68</v>
      </c>
      <c r="B6" s="16">
        <v>62</v>
      </c>
      <c r="D6" t="s">
        <v>68</v>
      </c>
      <c r="E6">
        <v>62</v>
      </c>
    </row>
    <row r="7" spans="1:5" x14ac:dyDescent="0.35">
      <c r="A7" s="15" t="s">
        <v>95</v>
      </c>
      <c r="B7" s="16">
        <v>5</v>
      </c>
      <c r="D7" t="s">
        <v>95</v>
      </c>
      <c r="E7">
        <v>5</v>
      </c>
    </row>
    <row r="8" spans="1:5" x14ac:dyDescent="0.35">
      <c r="A8" s="15" t="s">
        <v>81</v>
      </c>
      <c r="B8" s="16">
        <v>10</v>
      </c>
      <c r="D8" t="s">
        <v>81</v>
      </c>
      <c r="E8">
        <v>10</v>
      </c>
    </row>
    <row r="9" spans="1:5" x14ac:dyDescent="0.35">
      <c r="A9" s="15" t="s">
        <v>101</v>
      </c>
      <c r="B9" s="16">
        <v>2</v>
      </c>
      <c r="D9" t="s">
        <v>101</v>
      </c>
      <c r="E9">
        <v>2</v>
      </c>
    </row>
    <row r="10" spans="1:5" x14ac:dyDescent="0.35">
      <c r="A10" s="15" t="s">
        <v>63</v>
      </c>
      <c r="B10" s="16">
        <v>47</v>
      </c>
      <c r="D10" t="s">
        <v>63</v>
      </c>
      <c r="E10">
        <v>47</v>
      </c>
    </row>
    <row r="11" spans="1:5" x14ac:dyDescent="0.35">
      <c r="A11" s="15" t="s">
        <v>52</v>
      </c>
      <c r="B11" s="16">
        <v>57</v>
      </c>
      <c r="D11" t="s">
        <v>52</v>
      </c>
      <c r="E11">
        <v>57</v>
      </c>
    </row>
    <row r="12" spans="1:5" x14ac:dyDescent="0.35">
      <c r="A12" s="15" t="s">
        <v>99</v>
      </c>
      <c r="B12" s="16">
        <v>33</v>
      </c>
      <c r="D12" t="s">
        <v>99</v>
      </c>
      <c r="E12">
        <v>33</v>
      </c>
    </row>
    <row r="13" spans="1:5" x14ac:dyDescent="0.35">
      <c r="A13" s="17" t="s">
        <v>1566</v>
      </c>
      <c r="B13" s="18">
        <v>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E058-D2FB-4936-BD96-CE714600C427}">
  <dimension ref="A3:B7"/>
  <sheetViews>
    <sheetView workbookViewId="0">
      <selection activeCell="F6" sqref="F6"/>
    </sheetView>
  </sheetViews>
  <sheetFormatPr defaultRowHeight="15.5" x14ac:dyDescent="0.35"/>
  <cols>
    <col min="1" max="1" width="12" bestFit="1" customWidth="1"/>
    <col min="2" max="2" width="22.08203125" bestFit="1" customWidth="1"/>
    <col min="3" max="3" width="20.58203125" bestFit="1" customWidth="1"/>
  </cols>
  <sheetData>
    <row r="3" spans="1:2" x14ac:dyDescent="0.35">
      <c r="A3" s="12" t="s">
        <v>1565</v>
      </c>
      <c r="B3" s="3" t="s">
        <v>1569</v>
      </c>
    </row>
    <row r="4" spans="1:2" x14ac:dyDescent="0.35">
      <c r="A4" s="13" t="s">
        <v>161</v>
      </c>
      <c r="B4" s="22">
        <v>5.0632911392405063E-2</v>
      </c>
    </row>
    <row r="5" spans="1:2" x14ac:dyDescent="0.35">
      <c r="A5" s="15" t="s">
        <v>60</v>
      </c>
      <c r="B5" s="23">
        <v>0.56118143459915615</v>
      </c>
    </row>
    <row r="6" spans="1:2" x14ac:dyDescent="0.35">
      <c r="A6" s="15" t="s">
        <v>48</v>
      </c>
      <c r="B6" s="23">
        <v>0.3881856540084388</v>
      </c>
    </row>
    <row r="7" spans="1:2" x14ac:dyDescent="0.35">
      <c r="A7" s="17" t="s">
        <v>1566</v>
      </c>
      <c r="B7" s="2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D163-0343-43AF-B2BF-7E0728FDC946}">
  <dimension ref="A3:B9"/>
  <sheetViews>
    <sheetView workbookViewId="0">
      <selection activeCell="F6" sqref="F6"/>
    </sheetView>
  </sheetViews>
  <sheetFormatPr defaultRowHeight="15.5" x14ac:dyDescent="0.35"/>
  <cols>
    <col min="1" max="1" width="12" bestFit="1" customWidth="1"/>
    <col min="2" max="2" width="22.08203125" bestFit="1" customWidth="1"/>
  </cols>
  <sheetData>
    <row r="3" spans="1:2" x14ac:dyDescent="0.35">
      <c r="A3" s="12" t="s">
        <v>1565</v>
      </c>
      <c r="B3" s="3" t="s">
        <v>1569</v>
      </c>
    </row>
    <row r="4" spans="1:2" x14ac:dyDescent="0.35">
      <c r="A4" s="13" t="s">
        <v>69</v>
      </c>
      <c r="B4" s="14">
        <v>112</v>
      </c>
    </row>
    <row r="5" spans="1:2" x14ac:dyDescent="0.35">
      <c r="A5" s="15" t="s">
        <v>46</v>
      </c>
      <c r="B5" s="16">
        <v>51</v>
      </c>
    </row>
    <row r="6" spans="1:2" x14ac:dyDescent="0.35">
      <c r="A6" s="15" t="s">
        <v>92</v>
      </c>
      <c r="B6" s="16">
        <v>38</v>
      </c>
    </row>
    <row r="7" spans="1:2" x14ac:dyDescent="0.35">
      <c r="A7" s="15" t="s">
        <v>58</v>
      </c>
      <c r="B7" s="16">
        <v>25</v>
      </c>
    </row>
    <row r="8" spans="1:2" x14ac:dyDescent="0.35">
      <c r="A8" s="15" t="s">
        <v>75</v>
      </c>
      <c r="B8" s="16">
        <v>11</v>
      </c>
    </row>
    <row r="9" spans="1:2" x14ac:dyDescent="0.35">
      <c r="A9" s="17" t="s">
        <v>1566</v>
      </c>
      <c r="B9" s="18">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92D14-4B34-4044-A83E-4F8BF33FA13E}">
  <dimension ref="A3:B7"/>
  <sheetViews>
    <sheetView workbookViewId="0">
      <selection activeCell="F6" sqref="F6"/>
    </sheetView>
  </sheetViews>
  <sheetFormatPr defaultRowHeight="15.5" x14ac:dyDescent="0.35"/>
  <cols>
    <col min="1" max="1" width="12" bestFit="1" customWidth="1"/>
    <col min="2" max="2" width="22.08203125" bestFit="1" customWidth="1"/>
  </cols>
  <sheetData>
    <row r="3" spans="1:2" x14ac:dyDescent="0.35">
      <c r="A3" s="12" t="s">
        <v>1565</v>
      </c>
      <c r="B3" s="3" t="s">
        <v>1569</v>
      </c>
    </row>
    <row r="4" spans="1:2" x14ac:dyDescent="0.35">
      <c r="A4" s="13" t="s">
        <v>79</v>
      </c>
      <c r="B4" s="14">
        <v>33</v>
      </c>
    </row>
    <row r="5" spans="1:2" x14ac:dyDescent="0.35">
      <c r="A5" s="15" t="s">
        <v>64</v>
      </c>
      <c r="B5" s="16">
        <v>84</v>
      </c>
    </row>
    <row r="6" spans="1:2" x14ac:dyDescent="0.35">
      <c r="A6" s="15" t="s">
        <v>53</v>
      </c>
      <c r="B6" s="16">
        <v>120</v>
      </c>
    </row>
    <row r="7" spans="1:2" x14ac:dyDescent="0.35">
      <c r="A7" s="17" t="s">
        <v>1566</v>
      </c>
      <c r="B7" s="18">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93E3-30CE-4457-B749-DB5C51093A13}">
  <dimension ref="A3:E7"/>
  <sheetViews>
    <sheetView workbookViewId="0">
      <selection activeCell="F6" sqref="F6"/>
    </sheetView>
  </sheetViews>
  <sheetFormatPr defaultRowHeight="15.5" x14ac:dyDescent="0.35"/>
  <cols>
    <col min="1" max="1" width="12" bestFit="1" customWidth="1"/>
    <col min="2" max="2" width="22.08203125" bestFit="1" customWidth="1"/>
    <col min="4" max="4" width="10.5" bestFit="1" customWidth="1"/>
  </cols>
  <sheetData>
    <row r="3" spans="1:5" x14ac:dyDescent="0.35">
      <c r="A3" s="12" t="s">
        <v>1565</v>
      </c>
      <c r="B3" s="3" t="s">
        <v>1569</v>
      </c>
      <c r="D3" t="s">
        <v>1565</v>
      </c>
      <c r="E3" t="s">
        <v>1570</v>
      </c>
    </row>
    <row r="4" spans="1:5" x14ac:dyDescent="0.35">
      <c r="A4" s="13" t="s">
        <v>79</v>
      </c>
      <c r="B4" s="14">
        <v>33</v>
      </c>
      <c r="D4" t="s">
        <v>79</v>
      </c>
      <c r="E4">
        <v>33</v>
      </c>
    </row>
    <row r="5" spans="1:5" x14ac:dyDescent="0.35">
      <c r="A5" s="15" t="s">
        <v>64</v>
      </c>
      <c r="B5" s="16">
        <v>84</v>
      </c>
      <c r="D5" t="s">
        <v>64</v>
      </c>
      <c r="E5">
        <v>84</v>
      </c>
    </row>
    <row r="6" spans="1:5" x14ac:dyDescent="0.35">
      <c r="A6" s="15" t="s">
        <v>53</v>
      </c>
      <c r="B6" s="16">
        <v>120</v>
      </c>
      <c r="D6" t="s">
        <v>53</v>
      </c>
      <c r="E6">
        <v>120</v>
      </c>
    </row>
    <row r="7" spans="1:5" x14ac:dyDescent="0.35">
      <c r="A7" s="17" t="s">
        <v>1566</v>
      </c>
      <c r="B7" s="18">
        <v>237</v>
      </c>
      <c r="D7" t="s">
        <v>1566</v>
      </c>
      <c r="E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F6" sqref="F6"/>
    </sheetView>
  </sheetViews>
  <sheetFormatPr defaultColWidth="11.25" defaultRowHeight="15" customHeight="1" x14ac:dyDescent="0.35"/>
  <cols>
    <col min="1" max="1" width="9.75" customWidth="1"/>
    <col min="2" max="2" width="15.4140625" customWidth="1"/>
    <col min="3" max="3" width="13.33203125" customWidth="1"/>
    <col min="4" max="4" width="17.58203125" customWidth="1"/>
    <col min="5" max="5" width="12.75" customWidth="1"/>
    <col min="6" max="6" width="15.4140625" customWidth="1"/>
    <col min="7" max="7" width="9" customWidth="1"/>
    <col min="8" max="8" width="18.08203125" customWidth="1"/>
    <col min="9" max="9" width="8.58203125" customWidth="1"/>
    <col min="10" max="10" width="23.33203125" customWidth="1"/>
    <col min="11" max="11" width="14.4140625" customWidth="1"/>
    <col min="12" max="12" width="11.25" customWidth="1"/>
    <col min="13" max="13" width="8.58203125" customWidth="1"/>
    <col min="14" max="14" width="22.75" customWidth="1"/>
    <col min="15" max="17" width="8.58203125" customWidth="1"/>
    <col min="18" max="18" width="17.9140625" customWidth="1"/>
    <col min="19" max="19" width="18.6640625" customWidth="1"/>
    <col min="20" max="20" width="16.4140625" customWidth="1"/>
    <col min="21" max="21" width="20.4140625" customWidth="1"/>
    <col min="22" max="22" width="11.08203125" customWidth="1"/>
    <col min="23" max="23" width="20.08203125" customWidth="1"/>
    <col min="24" max="24" width="16" customWidth="1"/>
    <col min="25" max="25" width="16.4140625" customWidth="1"/>
    <col min="26" max="26" width="23.58203125" customWidth="1"/>
    <col min="27" max="27" width="12.4140625" customWidth="1"/>
    <col min="28" max="28" width="16.4140625" customWidth="1"/>
    <col min="29" max="29" width="10.25" customWidth="1"/>
    <col min="30" max="30" width="15.6640625" customWidth="1"/>
    <col min="31" max="31" width="16.33203125" customWidth="1"/>
    <col min="32" max="32" width="14" customWidth="1"/>
    <col min="33" max="33" width="23.58203125" customWidth="1"/>
    <col min="34" max="34" width="18.75" customWidth="1"/>
    <col min="35" max="35" width="19.08203125" customWidth="1"/>
    <col min="36" max="36" width="23.33203125" customWidth="1"/>
    <col min="37" max="37" width="15.6640625" customWidth="1"/>
    <col min="38" max="38" width="18.25" customWidth="1"/>
    <col min="39" max="39" width="19.4140625" customWidth="1"/>
    <col min="40" max="40" width="17.58203125" customWidth="1"/>
    <col min="41" max="41" width="17.9140625" customWidth="1"/>
    <col min="42" max="42" width="20.33203125" customWidth="1"/>
    <col min="43" max="43" width="25.25" customWidth="1"/>
    <col min="44" max="44" width="23.664062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4991-DD90-4A64-9A72-B9E993695D76}">
  <dimension ref="A3:C13"/>
  <sheetViews>
    <sheetView workbookViewId="0">
      <selection activeCell="F6" sqref="F6"/>
    </sheetView>
  </sheetViews>
  <sheetFormatPr defaultRowHeight="15.5" x14ac:dyDescent="0.35"/>
  <cols>
    <col min="1" max="1" width="12" bestFit="1" customWidth="1"/>
    <col min="2" max="2" width="20.58203125" bestFit="1" customWidth="1"/>
  </cols>
  <sheetData>
    <row r="3" spans="1:3" x14ac:dyDescent="0.35">
      <c r="A3" s="12" t="s">
        <v>1565</v>
      </c>
      <c r="B3" s="3" t="s">
        <v>1567</v>
      </c>
    </row>
    <row r="4" spans="1:3" x14ac:dyDescent="0.35">
      <c r="A4" s="13" t="s">
        <v>51</v>
      </c>
      <c r="B4" s="14">
        <v>588</v>
      </c>
    </row>
    <row r="5" spans="1:3" x14ac:dyDescent="0.35">
      <c r="A5" s="15" t="s">
        <v>62</v>
      </c>
      <c r="B5" s="16">
        <v>882</v>
      </c>
    </row>
    <row r="6" spans="1:3" x14ac:dyDescent="0.35">
      <c r="A6" s="17" t="s">
        <v>1566</v>
      </c>
      <c r="B6" s="18">
        <v>1470</v>
      </c>
    </row>
    <row r="9" spans="1:3" x14ac:dyDescent="0.35">
      <c r="A9" s="19" t="s">
        <v>51</v>
      </c>
      <c r="B9">
        <f>IFERROR(GETPIVOTDATA("Employee Count",$A$3,"Gender","Female"),0)</f>
        <v>588</v>
      </c>
      <c r="C9" s="20">
        <f>IFERROR(B9/GETPIVOTDATA("Employee Count",$A$3),0)</f>
        <v>0.4</v>
      </c>
    </row>
    <row r="10" spans="1:3" x14ac:dyDescent="0.35">
      <c r="A10" s="19" t="s">
        <v>62</v>
      </c>
      <c r="B10">
        <f>IFERROR(GETPIVOTDATA("Employee Count",$A$3,"Gender","Male"),0)</f>
        <v>882</v>
      </c>
      <c r="C10" s="20">
        <f>IFERROR(B10/GETPIVOTDATA("Employee Count",$A$3),0)</f>
        <v>0.6</v>
      </c>
    </row>
    <row r="13" spans="1:3" x14ac:dyDescent="0.35">
      <c r="A13"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A60E-F150-4EF4-A34C-368EA99F0009}">
  <dimension ref="A3:B9"/>
  <sheetViews>
    <sheetView workbookViewId="0">
      <selection activeCell="F6" sqref="F6"/>
    </sheetView>
  </sheetViews>
  <sheetFormatPr defaultRowHeight="15.5" x14ac:dyDescent="0.35"/>
  <cols>
    <col min="1" max="1" width="15.58203125" bestFit="1" customWidth="1"/>
    <col min="2" max="2" width="20.58203125" bestFit="1" customWidth="1"/>
  </cols>
  <sheetData>
    <row r="3" spans="1:2" x14ac:dyDescent="0.35">
      <c r="A3" s="12" t="s">
        <v>1565</v>
      </c>
      <c r="B3" s="3" t="s">
        <v>1555</v>
      </c>
    </row>
    <row r="4" spans="1:2" x14ac:dyDescent="0.35">
      <c r="A4" s="13" t="s">
        <v>134</v>
      </c>
      <c r="B4" s="14">
        <v>5</v>
      </c>
    </row>
    <row r="5" spans="1:2" x14ac:dyDescent="0.35">
      <c r="A5" s="15" t="s">
        <v>65</v>
      </c>
      <c r="B5" s="16">
        <v>31</v>
      </c>
    </row>
    <row r="6" spans="1:2" x14ac:dyDescent="0.35">
      <c r="A6" s="15" t="s">
        <v>55</v>
      </c>
      <c r="B6" s="16">
        <v>44</v>
      </c>
    </row>
    <row r="7" spans="1:2" x14ac:dyDescent="0.35">
      <c r="A7" s="15" t="s">
        <v>71</v>
      </c>
      <c r="B7" s="16">
        <v>58</v>
      </c>
    </row>
    <row r="8" spans="1:2" x14ac:dyDescent="0.35">
      <c r="A8" s="15" t="s">
        <v>77</v>
      </c>
      <c r="B8" s="16">
        <v>99</v>
      </c>
    </row>
    <row r="9" spans="1:2" x14ac:dyDescent="0.35">
      <c r="A9" s="17" t="s">
        <v>1566</v>
      </c>
      <c r="B9" s="18">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6084-A9DB-42AB-802A-D8526C933765}">
  <dimension ref="A3:H11"/>
  <sheetViews>
    <sheetView topLeftCell="A2" zoomScale="70" zoomScaleNormal="70" workbookViewId="0">
      <selection activeCell="F6" sqref="F6"/>
    </sheetView>
  </sheetViews>
  <sheetFormatPr defaultRowHeight="15.5" x14ac:dyDescent="0.35"/>
  <cols>
    <col min="1" max="1" width="22.5" bestFit="1" customWidth="1"/>
    <col min="2" max="2" width="21.25" bestFit="1" customWidth="1"/>
    <col min="3" max="3" width="25.33203125" bestFit="1" customWidth="1"/>
    <col min="4" max="4" width="13.4140625" bestFit="1" customWidth="1"/>
    <col min="6" max="6" width="23.5" bestFit="1" customWidth="1"/>
  </cols>
  <sheetData>
    <row r="3" spans="1:8" x14ac:dyDescent="0.35">
      <c r="A3" s="2" t="s">
        <v>1554</v>
      </c>
      <c r="B3" s="5" t="s">
        <v>1555</v>
      </c>
      <c r="C3" s="5" t="s">
        <v>1556</v>
      </c>
      <c r="D3" s="4" t="s">
        <v>1557</v>
      </c>
      <c r="F3" s="3" t="s">
        <v>1561</v>
      </c>
    </row>
    <row r="4" spans="1:8" x14ac:dyDescent="0.35">
      <c r="A4" s="21">
        <v>1470</v>
      </c>
      <c r="B4" s="25">
        <v>237</v>
      </c>
      <c r="C4" s="25">
        <v>1233</v>
      </c>
      <c r="D4" s="6">
        <v>36.923809523809524</v>
      </c>
      <c r="F4" s="11">
        <v>2.6265306122448981</v>
      </c>
    </row>
    <row r="6" spans="1:8" x14ac:dyDescent="0.35">
      <c r="F6" s="1" t="s">
        <v>1562</v>
      </c>
      <c r="G6">
        <v>4</v>
      </c>
    </row>
    <row r="7" spans="1:8" x14ac:dyDescent="0.35">
      <c r="A7" s="1" t="s">
        <v>24</v>
      </c>
      <c r="B7" s="8">
        <f>GETPIVOTDATA("Count of Employee Count",$A$3)</f>
        <v>1470</v>
      </c>
      <c r="F7" s="1" t="s">
        <v>1563</v>
      </c>
      <c r="G7" s="10">
        <f>GETPIVOTDATA("Job Satisfaction",$F$3)</f>
        <v>2.6265306122448981</v>
      </c>
      <c r="H7" s="7">
        <f>G7/G6</f>
        <v>0.65663265306122454</v>
      </c>
    </row>
    <row r="8" spans="1:8" x14ac:dyDescent="0.35">
      <c r="A8" s="1" t="s">
        <v>0</v>
      </c>
      <c r="B8" s="8">
        <f>GETPIVOTDATA("Sum of CF_attrition rate",$A$3)</f>
        <v>237</v>
      </c>
      <c r="F8" s="1" t="s">
        <v>1564</v>
      </c>
      <c r="G8" s="10">
        <f>G6-G7</f>
        <v>1.3734693877551019</v>
      </c>
      <c r="H8" s="7">
        <f>G8/G6</f>
        <v>0.34336734693877546</v>
      </c>
    </row>
    <row r="9" spans="1:8" x14ac:dyDescent="0.35">
      <c r="A9" s="1" t="s">
        <v>1558</v>
      </c>
      <c r="B9" s="8">
        <f>GETPIVOTDATA("Sum of CF_current Employee",$A$3)</f>
        <v>1233</v>
      </c>
    </row>
    <row r="10" spans="1:8" x14ac:dyDescent="0.35">
      <c r="A10" s="1" t="s">
        <v>1559</v>
      </c>
      <c r="B10" s="9">
        <f>B8/B7</f>
        <v>0.16122448979591836</v>
      </c>
    </row>
    <row r="11" spans="1:8" x14ac:dyDescent="0.35">
      <c r="A11" s="1" t="s">
        <v>1560</v>
      </c>
      <c r="B11" s="10">
        <f>GETPIVOTDATA("Average of Age",$A$3)</f>
        <v>36.923809523809524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63886-ED5C-4DBD-B6FD-ADA215C31DFE}">
  <dimension ref="A1"/>
  <sheetViews>
    <sheetView showGridLines="0" tabSelected="1" zoomScale="60" zoomScaleNormal="60" workbookViewId="0">
      <selection activeCell="V18" sqref="V18"/>
    </sheetView>
  </sheetViews>
  <sheetFormatPr defaultRowHeight="15.5" x14ac:dyDescent="0.35"/>
  <cols>
    <col min="1" max="16384" width="8.6640625" style="26"/>
  </cols>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B1"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35"/>
  <cols>
    <col min="1" max="26" width="8.58203125" customWidth="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Sheet3</vt:lpstr>
      <vt:lpstr>Sheet4</vt:lpstr>
      <vt:lpstr>Sheet5</vt:lpstr>
      <vt:lpstr>Sheet6</vt:lpstr>
      <vt:lpstr>Sheet7</vt:lpstr>
      <vt:lpstr>Data</vt:lpstr>
      <vt:lpstr>Gender</vt:lpstr>
      <vt:lpstr>Education</vt:lpstr>
      <vt:lpstr>KPI</vt:lpstr>
      <vt:lpstr>Dashboard</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OREEP NIG LTD</cp:lastModifiedBy>
  <dcterms:created xsi:type="dcterms:W3CDTF">2022-12-29T16:02:46Z</dcterms:created>
  <dcterms:modified xsi:type="dcterms:W3CDTF">2026-02-06T23:44:31Z</dcterms:modified>
</cp:coreProperties>
</file>